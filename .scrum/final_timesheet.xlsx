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ameters" sheetId="1" r:id="rId3"/>
    <sheet state="visible" name="David" sheetId="2" r:id="rId4"/>
    <sheet state="visible" name="Georgi" sheetId="3" r:id="rId5"/>
    <sheet state="visible" name="Jeroen" sheetId="4" r:id="rId6"/>
    <sheet state="visible" name="Julek" sheetId="5" r:id="rId7"/>
    <sheet state="visible" name="Theo" sheetId="6" r:id="rId8"/>
    <sheet state="visible" name="Sasha" sheetId="7" r:id="rId9"/>
    <sheet state="visible" name="Graphs" sheetId="8" r:id="rId10"/>
    <sheet state="visible" name="Totals" sheetId="9" r:id="rId11"/>
  </sheets>
  <definedNames>
    <definedName name="Participants">Parameters!$E$5:$F$12</definedName>
    <definedName name="test">#REF!</definedName>
    <definedName name="Tasks">Parameters!$A$5:$C$24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B1">
      <text>
        <t xml:space="preserve">Enter project name here
</t>
      </text>
    </comment>
    <comment authorId="0" ref="B5">
      <text>
        <t xml:space="preserve">Enter name of task here
</t>
      </text>
    </comment>
    <comment authorId="0" ref="F5">
      <text>
        <t xml:space="preserve">Enter name of particpant here
</t>
      </text>
    </comment>
  </commentList>
</comments>
</file>

<file path=xl/sharedStrings.xml><?xml version="1.0" encoding="utf-8"?>
<sst xmlns="http://schemas.openxmlformats.org/spreadsheetml/2006/main" count="115" uniqueCount="78">
  <si>
    <t>Time registration</t>
  </si>
  <si>
    <t>Project:</t>
  </si>
  <si>
    <t>DBL Webtech</t>
  </si>
  <si>
    <t>Tasks</t>
  </si>
  <si>
    <t>estimated effort(hours)</t>
  </si>
  <si>
    <t>Participants</t>
  </si>
  <si>
    <t>Budget</t>
  </si>
  <si>
    <t>Task1</t>
  </si>
  <si>
    <t>Week</t>
  </si>
  <si>
    <t>Sprint Planning</t>
  </si>
  <si>
    <t>Student1</t>
  </si>
  <si>
    <t>Task</t>
  </si>
  <si>
    <t>David</t>
  </si>
  <si>
    <t>Task2</t>
  </si>
  <si>
    <t>Daily Scrum</t>
  </si>
  <si>
    <t>Student2</t>
  </si>
  <si>
    <t>Georgi</t>
  </si>
  <si>
    <t>Task3</t>
  </si>
  <si>
    <t>Sprint Review</t>
  </si>
  <si>
    <t>Student3</t>
  </si>
  <si>
    <t>Jeroen</t>
  </si>
  <si>
    <t>Task4</t>
  </si>
  <si>
    <t>Lectures/Plenary meetings</t>
  </si>
  <si>
    <t>Student4</t>
  </si>
  <si>
    <t>Julek</t>
  </si>
  <si>
    <t>Task5</t>
  </si>
  <si>
    <t>Sprint Task 0. Administration</t>
  </si>
  <si>
    <t>Student5</t>
  </si>
  <si>
    <t>Sasha</t>
  </si>
  <si>
    <t>Task6</t>
  </si>
  <si>
    <t>Sprint Task 1. Create website</t>
  </si>
  <si>
    <t>Student6</t>
  </si>
  <si>
    <t>Theo</t>
  </si>
  <si>
    <t>Task7</t>
  </si>
  <si>
    <t>Sprint Task 2. Create visualization 1</t>
  </si>
  <si>
    <t>Total budget</t>
  </si>
  <si>
    <t>Task8</t>
  </si>
  <si>
    <t>Sprint Task 3. Allow for data upload</t>
  </si>
  <si>
    <t>Task9</t>
  </si>
  <si>
    <t>Sprint Task 4. Create draft interim report</t>
  </si>
  <si>
    <t>Task10</t>
  </si>
  <si>
    <t>Sprint Task 5. Create visualization 2</t>
  </si>
  <si>
    <t>Task11</t>
  </si>
  <si>
    <t>Sprint Task 6. Add interactions</t>
  </si>
  <si>
    <t>Task12</t>
  </si>
  <si>
    <t>Sprint Task 7. Create interim video</t>
  </si>
  <si>
    <t>Task13</t>
  </si>
  <si>
    <t>Sprint Task 8. Scalability</t>
  </si>
  <si>
    <t>Task14</t>
  </si>
  <si>
    <t>Sprint Task 9. Ordering in visualizations</t>
  </si>
  <si>
    <t>Task15</t>
  </si>
  <si>
    <t>Sprint Task 10. Upgrade interactions</t>
  </si>
  <si>
    <t>Task16</t>
  </si>
  <si>
    <t>Sprint Task 11. Upgrade the website</t>
  </si>
  <si>
    <t>Task17</t>
  </si>
  <si>
    <t>Sprint Task 12. Create Final Report</t>
  </si>
  <si>
    <t>Task18</t>
  </si>
  <si>
    <t>Sprint Task 13. Create Final Video</t>
  </si>
  <si>
    <t>Task19</t>
  </si>
  <si>
    <t>Sprint Task x.x</t>
  </si>
  <si>
    <t>Task20</t>
  </si>
  <si>
    <t>total estimated effort</t>
  </si>
  <si>
    <t>remaining budget:</t>
  </si>
  <si>
    <t>hours spent</t>
  </si>
  <si>
    <t>remaining hours</t>
  </si>
  <si>
    <t>Totals and charts</t>
  </si>
  <si>
    <t>week1</t>
  </si>
  <si>
    <t>week2</t>
  </si>
  <si>
    <t>week3</t>
  </si>
  <si>
    <t>week4</t>
  </si>
  <si>
    <t>week5</t>
  </si>
  <si>
    <t>week6</t>
  </si>
  <si>
    <t>week7</t>
  </si>
  <si>
    <t>week8</t>
  </si>
  <si>
    <t>week9</t>
  </si>
  <si>
    <t>week10</t>
  </si>
  <si>
    <t>Totals</t>
  </si>
  <si>
    <t>% Finished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</si>
</sst>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h]:mm"/>
    <numFmt numFmtId="165" formatCode="0.0"/>
    <numFmt numFmtId="166" formatCode="[hh]:mm:ss"/>
    <numFmt numFmtId="167" formatCode="hh:mm"/>
  </numFmts>
  <fonts count="3">
    <font>
      <sz val="11.0"/>
      <color rgb="FF000000"/>
      <name val="Calibri"/>
    </font>
    <font/>
    <font>
      <b/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ADDB7B"/>
        <bgColor rgb="FFADDB7B"/>
      </patternFill>
    </fill>
  </fills>
  <borders count="18">
    <border/>
    <border>
      <left/>
      <right/>
      <top/>
      <bottom/>
    </border>
    <border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1" fillId="2" fontId="0" numFmtId="0" xfId="0" applyBorder="1" applyFill="1" applyFont="1"/>
    <xf borderId="2" fillId="0" fontId="0" numFmtId="0" xfId="0" applyBorder="1" applyFont="1"/>
    <xf borderId="1" fillId="2" fontId="0" numFmtId="0" xfId="0" applyAlignment="1" applyBorder="1" applyFont="1">
      <alignment readingOrder="0"/>
    </xf>
    <xf borderId="1" fillId="2" fontId="0" numFmtId="46" xfId="0" applyAlignment="1" applyBorder="1" applyFont="1" applyNumberFormat="1">
      <alignment readingOrder="0"/>
    </xf>
    <xf borderId="3" fillId="0" fontId="0" numFmtId="0" xfId="0" applyBorder="1" applyFont="1"/>
    <xf borderId="1" fillId="3" fontId="0" numFmtId="0" xfId="0" applyBorder="1" applyFill="1" applyFont="1"/>
    <xf borderId="4" fillId="0" fontId="0" numFmtId="46" xfId="0" applyBorder="1" applyFont="1" applyNumberFormat="1"/>
    <xf borderId="1" fillId="3" fontId="0" numFmtId="0" xfId="0" applyAlignment="1" applyBorder="1" applyFont="1">
      <alignment readingOrder="0"/>
    </xf>
    <xf borderId="1" fillId="3" fontId="0" numFmtId="46" xfId="0" applyBorder="1" applyFont="1" applyNumberFormat="1"/>
    <xf borderId="5" fillId="0" fontId="0" numFmtId="46" xfId="0" applyAlignment="1" applyBorder="1" applyFont="1" applyNumberFormat="1">
      <alignment readingOrder="0"/>
    </xf>
    <xf borderId="5" fillId="0" fontId="0" numFmtId="46" xfId="0" applyBorder="1" applyFont="1" applyNumberFormat="1"/>
    <xf borderId="6" fillId="3" fontId="0" numFmtId="0" xfId="0" applyBorder="1" applyFont="1"/>
    <xf borderId="6" fillId="3" fontId="0" numFmtId="0" xfId="0" applyAlignment="1" applyBorder="1" applyFont="1">
      <alignment readingOrder="0"/>
    </xf>
    <xf borderId="6" fillId="3" fontId="0" numFmtId="46" xfId="0" applyBorder="1" applyFont="1" applyNumberFormat="1"/>
    <xf borderId="0" fillId="0" fontId="0" numFmtId="0" xfId="0" applyFont="1"/>
    <xf borderId="0" fillId="0" fontId="2" numFmtId="0" xfId="0" applyAlignment="1" applyFont="1">
      <alignment horizontal="right"/>
    </xf>
    <xf borderId="0" fillId="0" fontId="0" numFmtId="164" xfId="0" applyFont="1" applyNumberFormat="1"/>
    <xf borderId="1" fillId="2" fontId="0" numFmtId="46" xfId="0" applyBorder="1" applyFont="1" applyNumberFormat="1"/>
    <xf borderId="7" fillId="0" fontId="0" numFmtId="46" xfId="0" applyBorder="1" applyFont="1" applyNumberFormat="1"/>
    <xf borderId="8" fillId="0" fontId="0" numFmtId="164" xfId="0" applyBorder="1" applyFont="1" applyNumberFormat="1"/>
    <xf borderId="0" fillId="0" fontId="0" numFmtId="165" xfId="0" applyFont="1" applyNumberFormat="1"/>
    <xf borderId="5" fillId="0" fontId="0" numFmtId="166" xfId="0" applyAlignment="1" applyBorder="1" applyFont="1" applyNumberFormat="1">
      <alignment readingOrder="0"/>
    </xf>
    <xf borderId="0" fillId="0" fontId="0" numFmtId="2" xfId="0" applyFont="1" applyNumberFormat="1"/>
    <xf borderId="5" fillId="0" fontId="0" numFmtId="167" xfId="0" applyAlignment="1" applyBorder="1" applyFont="1" applyNumberFormat="1">
      <alignment readingOrder="0"/>
    </xf>
    <xf borderId="0" fillId="0" fontId="1" numFmtId="167" xfId="0" applyAlignment="1" applyFont="1" applyNumberFormat="1">
      <alignment readingOrder="0"/>
    </xf>
    <xf borderId="9" fillId="0" fontId="0" numFmtId="164" xfId="0" applyBorder="1" applyFont="1" applyNumberFormat="1"/>
    <xf borderId="10" fillId="0" fontId="0" numFmtId="164" xfId="0" applyBorder="1" applyFont="1" applyNumberFormat="1"/>
    <xf borderId="11" fillId="0" fontId="2" numFmtId="0" xfId="0" applyBorder="1" applyFont="1"/>
    <xf borderId="12" fillId="0" fontId="0" numFmtId="164" xfId="0" applyBorder="1" applyFont="1" applyNumberFormat="1"/>
    <xf borderId="13" fillId="0" fontId="0" numFmtId="164" xfId="0" applyBorder="1" applyFont="1" applyNumberFormat="1"/>
    <xf borderId="14" fillId="0" fontId="0" numFmtId="1" xfId="0" applyBorder="1" applyFont="1" applyNumberFormat="1"/>
    <xf borderId="5" fillId="0" fontId="0" numFmtId="164" xfId="0" applyBorder="1" applyFont="1" applyNumberFormat="1"/>
    <xf borderId="15" fillId="0" fontId="0" numFmtId="164" xfId="0" applyBorder="1" applyFont="1" applyNumberFormat="1"/>
    <xf borderId="16" fillId="0" fontId="0" numFmtId="164" xfId="0" applyBorder="1" applyFont="1" applyNumberFormat="1"/>
    <xf borderId="16" fillId="0" fontId="0" numFmtId="1" xfId="0" applyBorder="1" applyFont="1" applyNumberFormat="1"/>
    <xf borderId="17" fillId="0" fontId="0" numFmtId="0" xfId="0" applyBorder="1" applyFont="1"/>
    <xf borderId="11" fillId="0" fontId="0" numFmtId="16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3366CC"/>
              </a:solidFill>
            </c:spPr>
          </c:dPt>
          <c:dPt>
            <c:idx val="1"/>
            <c:spPr>
              <a:solidFill>
                <a:srgbClr val="DC3912"/>
              </a:solidFill>
            </c:spPr>
          </c:dPt>
          <c:dPt>
            <c:idx val="2"/>
            <c:spPr>
              <a:solidFill>
                <a:srgbClr val="FF9900"/>
              </a:solidFill>
            </c:spPr>
          </c:dPt>
          <c:dPt>
            <c:idx val="3"/>
            <c:spPr>
              <a:solidFill>
                <a:srgbClr val="109618"/>
              </a:solidFill>
            </c:spPr>
          </c:dPt>
          <c:dPt>
            <c:idx val="4"/>
            <c:spPr>
              <a:solidFill>
                <a:srgbClr val="FFD966"/>
              </a:solidFill>
            </c:spPr>
          </c:dPt>
          <c:dPt>
            <c:idx val="5"/>
            <c:spPr>
              <a:solidFill>
                <a:srgbClr val="0099C6"/>
              </a:solidFill>
            </c:spPr>
          </c:dPt>
          <c:dPt>
            <c:idx val="6"/>
            <c:spPr>
              <a:solidFill>
                <a:srgbClr val="DD4477"/>
              </a:solidFill>
            </c:spPr>
          </c:dPt>
          <c:dPt>
            <c:idx val="7"/>
            <c:spPr>
              <a:solidFill>
                <a:srgbClr val="66AA00"/>
              </a:solidFill>
            </c:spPr>
          </c:dPt>
          <c:dPt>
            <c:idx val="8"/>
            <c:spPr>
              <a:solidFill>
                <a:srgbClr val="B82E2E"/>
              </a:solidFill>
            </c:spPr>
          </c:dPt>
          <c:dPt>
            <c:idx val="9"/>
            <c:spPr>
              <a:solidFill>
                <a:srgbClr val="316395"/>
              </a:solidFill>
            </c:spPr>
          </c:dPt>
          <c:dPt>
            <c:idx val="10"/>
            <c:spPr>
              <a:solidFill>
                <a:srgbClr val="994499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Totals!$B$6:$B$16</c:f>
            </c:strRef>
          </c:cat>
          <c:val>
            <c:numRef>
              <c:f>Totals!$M$6:$M$16</c:f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  <c:spPr>
        <a:solidFill>
          <a:srgbClr val="FFFFFF"/>
        </a:solidFill>
      </c:spPr>
    </c:plotArea>
    <c:legend>
      <c:legendPos val="r"/>
      <c:overlay val="0"/>
      <c:txPr>
        <a:bodyPr/>
        <a:lstStyle/>
        <a:p>
          <a:pPr lvl="0">
            <a:defRPr sz="700"/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/>
            </a:pPr>
            <a:r>
              <a:t>Total number of hours spent per week</a:t>
            </a:r>
          </a:p>
        </c:rich>
      </c:tx>
      <c:overlay val="0"/>
    </c:title>
    <c:plotArea>
      <c:layout/>
      <c:barChart>
        <c:barDir val="col"/>
        <c:grouping val="clustered"/>
        <c:ser>
          <c:idx val="0"/>
          <c:order val="0"/>
          <c:spPr>
            <a:solidFill>
              <a:srgbClr val="3D85C6"/>
            </a:solidFill>
          </c:spPr>
          <c:cat>
            <c:strRef>
              <c:f>Totals!$H$46</c:f>
            </c:strRef>
          </c:cat>
          <c:val>
            <c:numRef>
              <c:f>Totals!$C$30:$L$30</c:f>
            </c:numRef>
          </c:val>
        </c:ser>
        <c:ser>
          <c:idx val="1"/>
          <c:order val="1"/>
          <c:spPr>
            <a:solidFill>
              <a:srgbClr val="DC3912"/>
            </a:solidFill>
          </c:spPr>
          <c:cat>
            <c:strRef>
              <c:f>Totals!$H$46</c:f>
            </c:strRef>
          </c:cat>
          <c:val>
            <c:numRef>
              <c:f>Totals!$C$37:$L$37</c:f>
            </c:numRef>
          </c:val>
        </c:ser>
        <c:axId val="292168014"/>
        <c:axId val="1872161575"/>
      </c:barChart>
      <c:catAx>
        <c:axId val="292168014"/>
        <c:scaling>
          <c:orientation val="minMax"/>
        </c:scaling>
        <c:delete val="0"/>
        <c:axPos val="b"/>
        <c:txPr>
          <a:bodyPr/>
          <a:lstStyle/>
          <a:p>
            <a:pPr lvl="0">
              <a:defRPr b="0"/>
            </a:pPr>
          </a:p>
        </c:txPr>
        <c:crossAx val="1872161575"/>
      </c:catAx>
      <c:valAx>
        <c:axId val="18721615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/>
            </a:pPr>
          </a:p>
        </c:txPr>
        <c:crossAx val="292168014"/>
      </c:valAx>
    </c:plotArea>
    <c:legend>
      <c:legendPos val="r"/>
      <c:overlay val="0"/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/>
            </a:pPr>
            <a:r>
              <a:t>Total number of hours spent per person</a:t>
            </a:r>
          </a:p>
        </c:rich>
      </c:tx>
      <c:overlay val="0"/>
    </c:title>
    <c:plotArea>
      <c:layout/>
      <c:barChart>
        <c:barDir val="col"/>
        <c:grouping val="clustered"/>
        <c:ser>
          <c:idx val="0"/>
          <c:order val="0"/>
          <c:spPr>
            <a:solidFill>
              <a:srgbClr val="3D85C6"/>
            </a:solidFill>
          </c:spPr>
          <c:cat>
            <c:strRef>
              <c:f>Totals!$B$31:$B$36</c:f>
            </c:strRef>
          </c:cat>
          <c:val>
            <c:numRef>
              <c:f>Totals!$M$31:$M$36</c:f>
            </c:numRef>
          </c:val>
        </c:ser>
        <c:axId val="1558861006"/>
        <c:axId val="1193697498"/>
      </c:barChart>
      <c:catAx>
        <c:axId val="1558861006"/>
        <c:scaling>
          <c:orientation val="minMax"/>
        </c:scaling>
        <c:delete val="0"/>
        <c:axPos val="b"/>
        <c:txPr>
          <a:bodyPr rot="-5400000"/>
          <a:lstStyle/>
          <a:p>
            <a:pPr lvl="0">
              <a:defRPr b="1" i="0"/>
            </a:pPr>
          </a:p>
        </c:txPr>
        <c:crossAx val="1193697498"/>
      </c:catAx>
      <c:valAx>
        <c:axId val="11936974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/>
            </a:pPr>
          </a:p>
        </c:txPr>
        <c:crossAx val="1558861006"/>
      </c:valAx>
      <c:spPr>
        <a:solidFill>
          <a:srgbClr val="FFFFFF"/>
        </a:solidFill>
      </c:spPr>
    </c:plotArea>
    <c:plotVisOnly val="1"/>
  </c:chart>
</c:chartSpace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18</xdr:row>
      <xdr:rowOff>47625</xdr:rowOff>
    </xdr:from>
    <xdr:ext cx="4276725" cy="43053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457200</xdr:colOff>
      <xdr:row>0</xdr:row>
      <xdr:rowOff>57150</xdr:rowOff>
    </xdr:from>
    <xdr:ext cx="5076825" cy="31813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514350</xdr:colOff>
      <xdr:row>0</xdr:row>
      <xdr:rowOff>57150</xdr:rowOff>
    </xdr:from>
    <xdr:ext cx="4467225" cy="318135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3.43"/>
    <col customWidth="1" min="2" max="2" width="31.71"/>
    <col customWidth="1" min="3" max="3" width="23.14"/>
    <col customWidth="1" min="4" max="4" width="8.71"/>
    <col customWidth="1" min="5" max="5" width="18.71"/>
    <col customWidth="1" min="6" max="6" width="16.43"/>
    <col customWidth="1" min="7" max="7" width="16.71"/>
    <col customWidth="1" min="8" max="26" width="8.71"/>
  </cols>
  <sheetData>
    <row r="1" ht="14.25" customHeight="1">
      <c r="A1" t="s">
        <v>1</v>
      </c>
      <c r="B1" s="1" t="s">
        <v>2</v>
      </c>
    </row>
    <row r="2" ht="14.25" customHeight="1"/>
    <row r="3" ht="14.25" customHeight="1"/>
    <row r="4" ht="14.25" customHeight="1">
      <c r="A4" s="2" t="s">
        <v>3</v>
      </c>
      <c r="C4" s="2" t="s">
        <v>4</v>
      </c>
      <c r="E4" s="2" t="s">
        <v>5</v>
      </c>
      <c r="G4" s="2" t="s">
        <v>6</v>
      </c>
    </row>
    <row r="5" ht="14.25" customHeight="1">
      <c r="A5" s="3" t="s">
        <v>7</v>
      </c>
      <c r="B5" s="5" t="s">
        <v>9</v>
      </c>
      <c r="C5" s="6">
        <v>0.041666666666666664</v>
      </c>
      <c r="E5" s="8" t="s">
        <v>10</v>
      </c>
      <c r="F5" s="10" t="s">
        <v>12</v>
      </c>
      <c r="G5" s="11">
        <v>5.833333333333333</v>
      </c>
    </row>
    <row r="6" ht="14.25" customHeight="1">
      <c r="A6" s="3" t="s">
        <v>13</v>
      </c>
      <c r="B6" s="5" t="s">
        <v>14</v>
      </c>
      <c r="C6" s="6">
        <v>0.041666666666666664</v>
      </c>
      <c r="E6" s="8" t="s">
        <v>15</v>
      </c>
      <c r="F6" s="10" t="s">
        <v>16</v>
      </c>
      <c r="G6" s="11">
        <v>5.833333333333333</v>
      </c>
    </row>
    <row r="7" ht="14.25" customHeight="1">
      <c r="A7" s="3" t="s">
        <v>17</v>
      </c>
      <c r="B7" s="5" t="s">
        <v>18</v>
      </c>
      <c r="C7" s="6">
        <v>0.041666666666666664</v>
      </c>
      <c r="E7" s="8" t="s">
        <v>19</v>
      </c>
      <c r="F7" s="10" t="s">
        <v>20</v>
      </c>
      <c r="G7" s="11">
        <v>5.833333333333333</v>
      </c>
    </row>
    <row r="8" ht="14.25" customHeight="1">
      <c r="A8" s="3" t="s">
        <v>21</v>
      </c>
      <c r="B8" s="5" t="s">
        <v>22</v>
      </c>
      <c r="C8" s="6">
        <v>0.041666666666666664</v>
      </c>
      <c r="E8" s="8" t="s">
        <v>23</v>
      </c>
      <c r="F8" s="10" t="s">
        <v>24</v>
      </c>
      <c r="G8" s="11">
        <v>5.833333333333333</v>
      </c>
    </row>
    <row r="9" ht="14.25" customHeight="1">
      <c r="A9" s="3" t="s">
        <v>25</v>
      </c>
      <c r="B9" s="5" t="s">
        <v>26</v>
      </c>
      <c r="C9" s="6">
        <v>0.041666666666666664</v>
      </c>
      <c r="E9" s="8" t="s">
        <v>27</v>
      </c>
      <c r="F9" s="10" t="s">
        <v>28</v>
      </c>
      <c r="G9" s="11">
        <v>5.833333333333333</v>
      </c>
    </row>
    <row r="10" ht="14.25" customHeight="1">
      <c r="A10" s="3" t="s">
        <v>29</v>
      </c>
      <c r="B10" s="5" t="s">
        <v>30</v>
      </c>
      <c r="C10" s="6">
        <v>0.041666666666666664</v>
      </c>
      <c r="E10" s="14" t="s">
        <v>31</v>
      </c>
      <c r="F10" s="15" t="s">
        <v>32</v>
      </c>
      <c r="G10" s="16">
        <v>5.833333333333333</v>
      </c>
    </row>
    <row r="11" ht="14.25" customHeight="1">
      <c r="A11" s="3" t="s">
        <v>33</v>
      </c>
      <c r="B11" s="5" t="s">
        <v>34</v>
      </c>
      <c r="C11" s="6">
        <v>0.041666666666666664</v>
      </c>
      <c r="E11" s="17"/>
      <c r="F11" s="18" t="s">
        <v>35</v>
      </c>
      <c r="G11" s="19">
        <f> SUM(G5:G10)</f>
        <v>35</v>
      </c>
    </row>
    <row r="12" ht="14.25" customHeight="1">
      <c r="A12" s="3" t="s">
        <v>36</v>
      </c>
      <c r="B12" s="5" t="s">
        <v>37</v>
      </c>
      <c r="C12" s="6">
        <v>0.041666666666666664</v>
      </c>
      <c r="E12" s="17"/>
      <c r="F12" s="17"/>
      <c r="G12" s="19"/>
    </row>
    <row r="13" ht="14.25" customHeight="1">
      <c r="A13" s="3" t="s">
        <v>38</v>
      </c>
      <c r="B13" s="5" t="s">
        <v>39</v>
      </c>
      <c r="C13" s="6">
        <v>0.041666666666666664</v>
      </c>
    </row>
    <row r="14" ht="14.25" customHeight="1">
      <c r="A14" s="3" t="s">
        <v>40</v>
      </c>
      <c r="B14" s="5" t="s">
        <v>41</v>
      </c>
      <c r="C14" s="6">
        <v>0.041666666666666664</v>
      </c>
    </row>
    <row r="15" ht="14.25" customHeight="1">
      <c r="A15" s="3" t="s">
        <v>42</v>
      </c>
      <c r="B15" s="5" t="s">
        <v>43</v>
      </c>
      <c r="C15" s="6">
        <v>0.041666666666666664</v>
      </c>
    </row>
    <row r="16" ht="14.25" customHeight="1">
      <c r="A16" s="3" t="s">
        <v>44</v>
      </c>
      <c r="B16" s="5" t="s">
        <v>45</v>
      </c>
      <c r="C16" s="20"/>
    </row>
    <row r="17" ht="14.25" customHeight="1">
      <c r="A17" s="3" t="s">
        <v>46</v>
      </c>
      <c r="B17" s="5" t="s">
        <v>47</v>
      </c>
      <c r="C17" s="20"/>
    </row>
    <row r="18" ht="14.25" customHeight="1">
      <c r="A18" s="3" t="s">
        <v>48</v>
      </c>
      <c r="B18" s="5" t="s">
        <v>49</v>
      </c>
      <c r="C18" s="20"/>
    </row>
    <row r="19" ht="14.25" customHeight="1">
      <c r="A19" s="3" t="s">
        <v>50</v>
      </c>
      <c r="B19" s="5" t="s">
        <v>51</v>
      </c>
      <c r="C19" s="20"/>
    </row>
    <row r="20" ht="14.25" customHeight="1">
      <c r="A20" s="3" t="s">
        <v>52</v>
      </c>
      <c r="B20" s="5" t="s">
        <v>53</v>
      </c>
      <c r="C20" s="20"/>
    </row>
    <row r="21" ht="14.25" customHeight="1">
      <c r="A21" s="3" t="s">
        <v>54</v>
      </c>
      <c r="B21" s="5" t="s">
        <v>55</v>
      </c>
      <c r="C21" s="20"/>
    </row>
    <row r="22" ht="14.25" customHeight="1">
      <c r="A22" s="3" t="s">
        <v>56</v>
      </c>
      <c r="B22" s="5" t="s">
        <v>57</v>
      </c>
      <c r="C22" s="20"/>
    </row>
    <row r="23" ht="14.25" customHeight="1">
      <c r="A23" s="3" t="s">
        <v>58</v>
      </c>
      <c r="B23" s="3" t="s">
        <v>59</v>
      </c>
      <c r="C23" s="20"/>
    </row>
    <row r="24" ht="14.25" customHeight="1">
      <c r="A24" s="3" t="s">
        <v>60</v>
      </c>
      <c r="B24" s="3" t="s">
        <v>59</v>
      </c>
      <c r="C24" s="20"/>
    </row>
    <row r="25" ht="14.25" customHeight="1">
      <c r="B25" s="2" t="s">
        <v>61</v>
      </c>
      <c r="C25" s="19">
        <f>SUM(C5:C24)</f>
        <v>0.4583333333</v>
      </c>
    </row>
    <row r="26" ht="14.25" customHeight="1">
      <c r="B26" s="2" t="s">
        <v>62</v>
      </c>
      <c r="C26" s="19">
        <f>G11-C25</f>
        <v>34.54166667</v>
      </c>
    </row>
    <row r="27" ht="14.25" customHeight="1">
      <c r="A27" s="17"/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34.57"/>
    <col customWidth="1" min="3" max="26" width="8.71"/>
  </cols>
  <sheetData>
    <row r="1" ht="14.25" customHeight="1"/>
    <row r="2" ht="14.25" customHeight="1">
      <c r="A2" s="1" t="s">
        <v>0</v>
      </c>
      <c r="B2" t="str">
        <f t="array" ref="B2">INDEX(Participants,1,2)</f>
        <v>David</v>
      </c>
    </row>
    <row r="3" ht="14.25" customHeight="1"/>
    <row r="4" ht="14.25" customHeight="1">
      <c r="B4" s="4" t="s">
        <v>8</v>
      </c>
      <c r="C4" s="7">
        <v>1.0</v>
      </c>
      <c r="D4" s="7">
        <v>2.0</v>
      </c>
      <c r="E4" s="7">
        <v>3.0</v>
      </c>
      <c r="F4" s="7">
        <v>4.0</v>
      </c>
      <c r="G4" s="7">
        <v>5.0</v>
      </c>
      <c r="H4" s="7">
        <v>6.0</v>
      </c>
      <c r="I4" s="7">
        <v>7.0</v>
      </c>
      <c r="J4" s="7">
        <v>8.0</v>
      </c>
      <c r="K4" s="7">
        <v>9.0</v>
      </c>
      <c r="L4" s="7">
        <v>10.0</v>
      </c>
    </row>
    <row r="5" ht="14.25" customHeight="1">
      <c r="B5" s="2" t="s">
        <v>11</v>
      </c>
      <c r="C5" s="9"/>
      <c r="D5" s="9"/>
      <c r="E5" s="9"/>
      <c r="F5" s="9"/>
      <c r="G5" s="9"/>
      <c r="H5" s="9"/>
      <c r="I5" s="9"/>
      <c r="J5" s="9"/>
      <c r="K5" s="9"/>
      <c r="L5" s="9"/>
    </row>
    <row r="6" ht="14.25" customHeight="1">
      <c r="B6" t="str">
        <f t="array" ref="B6">INDEX(Tasks,1,2)</f>
        <v>Sprint Planning</v>
      </c>
      <c r="C6" s="12">
        <v>0.041666666666666664</v>
      </c>
      <c r="D6" s="12">
        <v>0.08333333333333333</v>
      </c>
      <c r="E6" s="13"/>
      <c r="F6" s="12">
        <v>0.020833333333333332</v>
      </c>
      <c r="G6" s="13"/>
      <c r="H6" s="12">
        <v>0.0625</v>
      </c>
      <c r="I6" s="12">
        <v>0.0625</v>
      </c>
      <c r="K6" s="13"/>
      <c r="L6" s="13"/>
    </row>
    <row r="7" ht="14.25" customHeight="1">
      <c r="B7" t="str">
        <f t="array" ref="B7">INDEX(Tasks,2,2)</f>
        <v>Daily Scrum</v>
      </c>
      <c r="C7" s="13"/>
      <c r="D7" s="12">
        <v>0.041666666666666664</v>
      </c>
      <c r="E7" s="12">
        <v>0.041666666666666664</v>
      </c>
      <c r="F7" s="12">
        <v>0.020833333333333332</v>
      </c>
      <c r="G7" s="12">
        <v>0.041666666666666664</v>
      </c>
      <c r="H7" s="12">
        <v>0.041666666666666664</v>
      </c>
      <c r="I7" s="12">
        <v>0.08333333333333333</v>
      </c>
      <c r="J7" s="12">
        <v>0.08333333333333333</v>
      </c>
      <c r="K7" s="12">
        <v>0.25</v>
      </c>
      <c r="L7" s="13"/>
    </row>
    <row r="8" ht="14.25" customHeight="1">
      <c r="B8" t="str">
        <f t="array" ref="B8">INDEX(Tasks,3,2)</f>
        <v>Sprint Review</v>
      </c>
      <c r="C8" s="13"/>
      <c r="D8" s="12">
        <v>0.020833333333333332</v>
      </c>
      <c r="E8" s="12">
        <v>0.020833333333333332</v>
      </c>
      <c r="F8" s="12">
        <v>0.020833333333333332</v>
      </c>
      <c r="G8" s="12">
        <v>0.020833333333333332</v>
      </c>
      <c r="H8" s="13"/>
      <c r="I8" s="12">
        <v>0.020833333333333332</v>
      </c>
      <c r="J8" s="13"/>
      <c r="K8" s="13"/>
      <c r="L8" s="13"/>
    </row>
    <row r="9" ht="14.25" customHeight="1">
      <c r="B9" t="str">
        <f t="array" ref="B9">INDEX(Tasks,4,2)</f>
        <v>Lectures/Plenary meetings</v>
      </c>
      <c r="C9" s="12">
        <v>0.041666666666666664</v>
      </c>
      <c r="D9" s="13"/>
      <c r="E9" s="13"/>
      <c r="F9" s="12">
        <v>0.08333333333333333</v>
      </c>
      <c r="G9" s="13"/>
      <c r="H9" s="13"/>
      <c r="I9" s="13"/>
      <c r="J9" s="13"/>
      <c r="L9" s="13"/>
    </row>
    <row r="10" ht="14.25" customHeight="1">
      <c r="B10" t="str">
        <f t="array" ref="B10">INDEX(Tasks,5,2)</f>
        <v>Sprint Task 0. Administration</v>
      </c>
      <c r="C10" s="12">
        <v>0.0625</v>
      </c>
      <c r="D10" s="12">
        <v>0.10416666666666667</v>
      </c>
      <c r="E10" s="12">
        <v>0.08333333333333333</v>
      </c>
      <c r="F10" s="12">
        <v>0.041666666666666664</v>
      </c>
      <c r="G10" s="12">
        <v>0.0625</v>
      </c>
      <c r="H10" s="12">
        <v>0.020833333333333332</v>
      </c>
      <c r="I10" s="13"/>
      <c r="J10" s="12">
        <v>0.041666666666666664</v>
      </c>
      <c r="K10" s="12">
        <v>0.020833333333333332</v>
      </c>
      <c r="L10" s="13"/>
    </row>
    <row r="11" ht="14.25" customHeight="1">
      <c r="B11" t="str">
        <f t="array" ref="B11">INDEX(Tasks,6,2)</f>
        <v>Sprint Task 1. Create website</v>
      </c>
      <c r="C11" s="13"/>
      <c r="D11" s="12">
        <v>0.25</v>
      </c>
      <c r="E11" s="12">
        <v>0.125</v>
      </c>
      <c r="F11" s="13"/>
      <c r="G11" s="13"/>
      <c r="H11" s="13"/>
      <c r="I11" s="13"/>
      <c r="J11" s="13"/>
      <c r="K11" s="12">
        <v>0.020833333333333332</v>
      </c>
      <c r="L11" s="13"/>
    </row>
    <row r="12" ht="14.25" customHeight="1">
      <c r="B12" t="str">
        <f t="array" ref="B12">INDEX(Tasks,7,2)</f>
        <v>Sprint Task 2. Create visualization 1</v>
      </c>
      <c r="C12" s="12">
        <v>0.08333333333333333</v>
      </c>
      <c r="D12" s="12">
        <v>0.16666666666666666</v>
      </c>
      <c r="E12" s="12">
        <v>0.125</v>
      </c>
      <c r="F12" s="12">
        <v>0.041666666666666664</v>
      </c>
      <c r="G12" s="13"/>
      <c r="H12" s="13"/>
      <c r="I12" s="13"/>
      <c r="J12" s="13"/>
      <c r="K12" s="13"/>
      <c r="L12" s="13"/>
    </row>
    <row r="13" ht="14.25" customHeight="1">
      <c r="B13" t="str">
        <f t="array" ref="B13">INDEX(Tasks,8,2)</f>
        <v>Sprint Task 3. Allow for data upload</v>
      </c>
      <c r="C13" s="13"/>
      <c r="D13" s="13"/>
      <c r="E13" s="12">
        <v>0.08333333333333333</v>
      </c>
      <c r="F13" s="13"/>
      <c r="G13" s="13"/>
      <c r="H13" s="13"/>
      <c r="I13" s="13"/>
      <c r="J13" s="13"/>
      <c r="K13" s="13"/>
      <c r="L13" s="13"/>
    </row>
    <row r="14" ht="14.25" customHeight="1">
      <c r="B14" t="str">
        <f t="array" ref="B14">INDEX(Tasks,9,2)</f>
        <v>Sprint Task 4. Create draft interim report</v>
      </c>
      <c r="C14" s="12"/>
      <c r="D14" s="12">
        <v>0.020833333333333332</v>
      </c>
      <c r="E14" s="12">
        <v>0.0625</v>
      </c>
      <c r="F14" s="12">
        <v>0.10416666666666667</v>
      </c>
      <c r="G14" s="12">
        <v>0.25</v>
      </c>
      <c r="H14" s="13"/>
      <c r="I14" s="13"/>
      <c r="J14" s="13"/>
      <c r="K14" s="13"/>
      <c r="L14" s="13"/>
    </row>
    <row r="15" ht="14.25" customHeight="1">
      <c r="B15" t="str">
        <f t="array" ref="B15">INDEX(Tasks,10,2)</f>
        <v>Sprint Task 5. Create visualization 2</v>
      </c>
      <c r="C15" s="13"/>
      <c r="D15" s="13"/>
      <c r="E15" s="12">
        <v>0.125</v>
      </c>
      <c r="F15" s="13"/>
      <c r="G15" s="13"/>
      <c r="H15" s="13"/>
      <c r="I15" s="13"/>
      <c r="J15" s="13"/>
      <c r="K15" s="13"/>
      <c r="L15" s="13"/>
    </row>
    <row r="16" ht="14.25" customHeight="1">
      <c r="B16" t="str">
        <f t="array" ref="B16">INDEX(Tasks,11,2)</f>
        <v>Sprint Task 6. Add interactions</v>
      </c>
      <c r="C16" s="13"/>
      <c r="D16" s="13"/>
      <c r="E16" s="12">
        <v>0.3333333333333333</v>
      </c>
      <c r="F16" s="13"/>
      <c r="G16" s="13"/>
      <c r="H16" s="13"/>
      <c r="I16" s="13"/>
      <c r="J16" s="13"/>
      <c r="K16" s="13"/>
      <c r="L16" s="13"/>
    </row>
    <row r="17" ht="14.25" customHeight="1">
      <c r="B17" t="str">
        <f t="array" ref="B17">INDEX(Tasks,12,2)</f>
        <v>Sprint Task 7. Create interim video</v>
      </c>
      <c r="C17" s="13"/>
      <c r="D17" s="13"/>
      <c r="E17" s="13"/>
      <c r="F17" s="13"/>
      <c r="G17" s="12">
        <v>0.2916666666666667</v>
      </c>
      <c r="H17" s="13"/>
      <c r="I17" s="13"/>
      <c r="J17" s="12">
        <v>0.125</v>
      </c>
      <c r="L17" s="13"/>
    </row>
    <row r="18" ht="14.25" customHeight="1">
      <c r="B18" t="str">
        <f t="array" ref="B18">INDEX(Tasks,13,2)</f>
        <v>Sprint Task 8. Scalability</v>
      </c>
      <c r="C18" s="13"/>
      <c r="D18" s="13"/>
      <c r="E18" s="13"/>
      <c r="F18" s="13"/>
      <c r="G18" s="13"/>
      <c r="H18" s="13"/>
      <c r="I18" s="12">
        <v>0.041666666666666664</v>
      </c>
      <c r="J18" s="13"/>
      <c r="L18" s="13"/>
    </row>
    <row r="19" ht="14.25" customHeight="1">
      <c r="B19" t="str">
        <f t="array" ref="B19">INDEX(Tasks,14,2)</f>
        <v>Sprint Task 9. Ordering in visualizations</v>
      </c>
      <c r="C19" s="13"/>
      <c r="D19" s="13"/>
      <c r="E19" s="13"/>
      <c r="F19" s="13"/>
      <c r="G19" s="13"/>
      <c r="H19" s="13"/>
      <c r="I19" s="12">
        <v>0.2916666666666667</v>
      </c>
      <c r="J19" s="12">
        <v>0.08333333333333333</v>
      </c>
      <c r="K19" s="12">
        <v>0.125</v>
      </c>
      <c r="L19" s="13"/>
    </row>
    <row r="20" ht="14.25" customHeight="1">
      <c r="B20" t="str">
        <f t="array" ref="B20">INDEX(Tasks,15,2)</f>
        <v>Sprint Task 10. Upgrade interactions</v>
      </c>
      <c r="C20" s="13"/>
      <c r="D20" s="13"/>
      <c r="E20" s="13"/>
      <c r="F20" s="13"/>
      <c r="G20" s="13"/>
      <c r="H20" s="12">
        <v>0.2916666666666667</v>
      </c>
      <c r="I20" s="12">
        <v>0.25</v>
      </c>
      <c r="J20" s="12">
        <v>0.2916666666666667</v>
      </c>
      <c r="K20" s="12">
        <v>0.3333333333333333</v>
      </c>
      <c r="L20" s="13"/>
    </row>
    <row r="21" ht="14.25" customHeight="1">
      <c r="B21" t="str">
        <f t="array" ref="B21">INDEX(Tasks,16,2)</f>
        <v>Sprint Task 11. Upgrade the website</v>
      </c>
      <c r="C21" s="13"/>
      <c r="D21" s="13"/>
      <c r="E21" s="13"/>
      <c r="F21" s="13"/>
      <c r="G21" s="13"/>
      <c r="H21" s="12">
        <v>0.08333333333333333</v>
      </c>
      <c r="I21" s="13"/>
      <c r="J21" s="13"/>
      <c r="K21" s="12">
        <v>0.2916666666666667</v>
      </c>
      <c r="L21" s="13"/>
    </row>
    <row r="22" ht="14.25" customHeight="1">
      <c r="B22" t="str">
        <f t="array" ref="B22">INDEX(Tasks,17,2)</f>
        <v>Sprint Task 12. Create Final Report</v>
      </c>
      <c r="C22" s="13"/>
      <c r="D22" s="13"/>
      <c r="E22" s="13"/>
      <c r="F22" s="13"/>
      <c r="G22" s="13"/>
      <c r="H22" s="13"/>
      <c r="I22" s="12">
        <v>0.08333333333333333</v>
      </c>
      <c r="J22" s="12"/>
      <c r="K22" s="12">
        <v>0.2916666666666667</v>
      </c>
      <c r="L22" s="13"/>
    </row>
    <row r="23" ht="14.25" customHeight="1">
      <c r="B23" t="str">
        <f t="array" ref="B23">INDEX(Tasks,18,2)</f>
        <v>Sprint Task 13. Create Final Video</v>
      </c>
      <c r="C23" s="13"/>
      <c r="D23" s="13"/>
      <c r="E23" s="13"/>
      <c r="F23" s="13"/>
      <c r="G23" s="13"/>
      <c r="H23" s="13"/>
      <c r="I23" s="13"/>
      <c r="J23" s="12">
        <v>0.08333333333333333</v>
      </c>
      <c r="K23" s="13"/>
      <c r="L23" s="13"/>
    </row>
    <row r="24" ht="14.25" customHeight="1">
      <c r="B24" t="str">
        <f t="array" ref="B24">INDEX(Tasks,19,2)</f>
        <v>Sprint Task x.x</v>
      </c>
      <c r="C24" s="13"/>
      <c r="D24" s="13"/>
      <c r="E24" s="13"/>
      <c r="F24" s="13"/>
      <c r="G24" s="13"/>
      <c r="H24" s="13"/>
      <c r="I24" s="13"/>
      <c r="J24" s="13"/>
      <c r="K24" s="13"/>
      <c r="L24" s="13"/>
    </row>
    <row r="25" ht="14.25" customHeight="1">
      <c r="B25" t="str">
        <f t="array" ref="B25">INDEX(Tasks,20,2)</f>
        <v>Sprint Task x.x</v>
      </c>
      <c r="C25" s="21"/>
      <c r="D25" s="21"/>
      <c r="E25" s="21"/>
      <c r="F25" s="21"/>
      <c r="G25" s="21"/>
      <c r="H25" s="21"/>
      <c r="I25" s="21"/>
      <c r="J25" s="21"/>
      <c r="K25" s="21"/>
      <c r="L25" s="21"/>
    </row>
    <row r="26" ht="14.25" customHeight="1">
      <c r="C26" s="22">
        <f t="shared" ref="C26:L26" si="1">SUM(C6:C25)</f>
        <v>0.2291666667</v>
      </c>
      <c r="D26" s="22">
        <f t="shared" si="1"/>
        <v>0.6875</v>
      </c>
      <c r="E26" s="22">
        <f t="shared" si="1"/>
        <v>1</v>
      </c>
      <c r="F26" s="22">
        <f t="shared" si="1"/>
        <v>0.3333333333</v>
      </c>
      <c r="G26" s="22">
        <f t="shared" si="1"/>
        <v>0.6666666667</v>
      </c>
      <c r="H26" s="22">
        <f t="shared" si="1"/>
        <v>0.5</v>
      </c>
      <c r="I26" s="22">
        <f t="shared" si="1"/>
        <v>0.8333333333</v>
      </c>
      <c r="J26" s="22">
        <f t="shared" si="1"/>
        <v>0.7083333333</v>
      </c>
      <c r="K26" s="22">
        <f t="shared" si="1"/>
        <v>1.333333333</v>
      </c>
      <c r="L26" s="22">
        <f t="shared" si="1"/>
        <v>0</v>
      </c>
    </row>
    <row r="27" ht="14.25" customHeight="1">
      <c r="C27" s="19"/>
      <c r="D27" s="19"/>
      <c r="E27" s="19"/>
      <c r="F27" s="19"/>
      <c r="G27" s="19"/>
      <c r="H27" s="19"/>
      <c r="I27" s="19"/>
      <c r="J27" s="19"/>
      <c r="K27" s="19"/>
      <c r="L27" s="19"/>
    </row>
    <row r="28" ht="14.25" customHeight="1">
      <c r="B28" t="s">
        <v>63</v>
      </c>
      <c r="C28" s="19">
        <f>SUM(C26)</f>
        <v>0.2291666667</v>
      </c>
      <c r="D28" s="19">
        <f t="shared" ref="D28:L28" si="2">SUM($C$26:D26)</f>
        <v>0.9166666667</v>
      </c>
      <c r="E28" s="19">
        <f t="shared" si="2"/>
        <v>1.916666667</v>
      </c>
      <c r="F28" s="19">
        <f t="shared" si="2"/>
        <v>2.25</v>
      </c>
      <c r="G28" s="19">
        <f t="shared" si="2"/>
        <v>2.916666667</v>
      </c>
      <c r="H28" s="19">
        <f t="shared" si="2"/>
        <v>3.416666667</v>
      </c>
      <c r="I28" s="19">
        <f t="shared" si="2"/>
        <v>4.25</v>
      </c>
      <c r="J28" s="19">
        <f t="shared" si="2"/>
        <v>4.958333333</v>
      </c>
      <c r="K28" s="19">
        <f t="shared" si="2"/>
        <v>6.291666667</v>
      </c>
      <c r="L28" s="19">
        <f t="shared" si="2"/>
        <v>6.291666667</v>
      </c>
    </row>
    <row r="29" ht="14.25" customHeight="1">
      <c r="B29" t="s">
        <v>64</v>
      </c>
      <c r="C29" s="19">
        <f>Parameters!$G$5-C28</f>
        <v>5.604166667</v>
      </c>
      <c r="D29" s="19">
        <f>Parameters!$G$5-D28</f>
        <v>4.916666667</v>
      </c>
      <c r="E29" s="19">
        <f>Parameters!$G$5-E28</f>
        <v>3.916666667</v>
      </c>
      <c r="F29" s="19">
        <f>Parameters!$G$5-F28</f>
        <v>3.583333333</v>
      </c>
      <c r="G29" s="19">
        <f>Parameters!$G$5-G28</f>
        <v>2.916666667</v>
      </c>
      <c r="H29" s="19">
        <f>Parameters!$G$5-H28</f>
        <v>2.416666667</v>
      </c>
      <c r="I29" s="19">
        <f>Parameters!$G$5-I28</f>
        <v>1.583333333</v>
      </c>
      <c r="J29" s="19">
        <f>Parameters!$G$5-J28</f>
        <v>0.875</v>
      </c>
      <c r="K29" s="19">
        <f>Parameters!$G$5-K28</f>
        <v>-0.4583333333</v>
      </c>
      <c r="L29" s="19">
        <f>Parameters!$G$5-L28</f>
        <v>-0.4583333333</v>
      </c>
    </row>
    <row r="30" ht="14.25" customHeight="1"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</row>
    <row r="31" ht="14.25" customHeight="1"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34.71"/>
    <col customWidth="1" min="3" max="26" width="8.71"/>
  </cols>
  <sheetData>
    <row r="1" ht="14.25" customHeight="1"/>
    <row r="2" ht="14.25" customHeight="1">
      <c r="A2" s="1" t="s">
        <v>0</v>
      </c>
      <c r="B2" t="str">
        <f t="array" ref="B2">INDEX(Participants,2,2)</f>
        <v>Georgi</v>
      </c>
    </row>
    <row r="3" ht="14.25" customHeight="1"/>
    <row r="4" ht="14.25" customHeight="1">
      <c r="B4" s="4" t="s">
        <v>8</v>
      </c>
      <c r="C4" s="7">
        <v>1.0</v>
      </c>
      <c r="D4" s="7">
        <v>2.0</v>
      </c>
      <c r="E4" s="7">
        <v>3.0</v>
      </c>
      <c r="F4" s="7">
        <v>4.0</v>
      </c>
      <c r="G4" s="7">
        <v>5.0</v>
      </c>
      <c r="H4" s="7">
        <v>6.0</v>
      </c>
      <c r="I4" s="7">
        <v>7.0</v>
      </c>
      <c r="J4" s="7">
        <v>8.0</v>
      </c>
      <c r="K4" s="7">
        <v>9.0</v>
      </c>
      <c r="L4" s="7">
        <v>10.0</v>
      </c>
    </row>
    <row r="5" ht="14.25" customHeight="1">
      <c r="B5" s="2" t="s">
        <v>11</v>
      </c>
      <c r="C5" s="9"/>
      <c r="D5" s="9"/>
      <c r="E5" s="9"/>
      <c r="F5" s="9"/>
      <c r="G5" s="9"/>
      <c r="H5" s="9"/>
      <c r="I5" s="9"/>
      <c r="J5" s="9"/>
      <c r="K5" s="9"/>
      <c r="L5" s="9"/>
    </row>
    <row r="6" ht="14.25" customHeight="1">
      <c r="B6" t="str">
        <f t="array" ref="B6">INDEX(Tasks,1,2)</f>
        <v>Sprint Planning</v>
      </c>
      <c r="C6" s="12">
        <v>0.041666666666666664</v>
      </c>
      <c r="D6" s="12">
        <v>0.0625</v>
      </c>
      <c r="E6" s="13"/>
      <c r="F6" s="13"/>
      <c r="G6" s="13"/>
      <c r="H6" s="13"/>
      <c r="I6" s="13"/>
      <c r="J6" s="13"/>
      <c r="K6" s="13"/>
      <c r="L6" s="13"/>
    </row>
    <row r="7" ht="14.25" customHeight="1">
      <c r="B7" t="str">
        <f t="array" ref="B7">INDEX(Tasks,2,2)</f>
        <v>Daily Scrum</v>
      </c>
      <c r="C7" s="12">
        <v>0.020833333333333332</v>
      </c>
      <c r="D7" s="12">
        <v>0.041666666666666664</v>
      </c>
      <c r="E7" s="12">
        <v>0.041666666666666664</v>
      </c>
      <c r="F7" s="13"/>
      <c r="G7" s="13"/>
      <c r="H7" s="13"/>
      <c r="I7" s="13"/>
      <c r="J7" s="13"/>
      <c r="K7" s="13"/>
      <c r="L7" s="13"/>
    </row>
    <row r="8" ht="14.25" customHeight="1">
      <c r="B8" t="str">
        <f t="array" ref="B8">INDEX(Tasks,3,2)</f>
        <v>Sprint Review</v>
      </c>
      <c r="C8" s="13"/>
      <c r="D8" s="12">
        <v>0.020833333333333332</v>
      </c>
      <c r="E8" s="12">
        <v>0.020833333333333332</v>
      </c>
      <c r="F8" s="13"/>
      <c r="G8" s="13"/>
      <c r="H8" s="13"/>
      <c r="I8" s="13"/>
      <c r="J8" s="13"/>
      <c r="K8" s="13"/>
      <c r="L8" s="13"/>
    </row>
    <row r="9" ht="14.25" customHeight="1">
      <c r="B9" t="str">
        <f t="array" ref="B9">INDEX(Tasks,4,2)</f>
        <v>Lectures/Plenary meetings</v>
      </c>
      <c r="C9" s="12">
        <v>0.041666666666666664</v>
      </c>
      <c r="D9" s="13"/>
      <c r="E9" s="13"/>
      <c r="F9" s="13"/>
      <c r="G9" s="13"/>
      <c r="H9" s="13"/>
      <c r="I9" s="13"/>
      <c r="J9" s="13"/>
      <c r="K9" s="13"/>
      <c r="L9" s="13"/>
    </row>
    <row r="10" ht="14.25" customHeight="1">
      <c r="B10" t="str">
        <f t="array" ref="B10">INDEX(Tasks,5,2)</f>
        <v>Sprint Task 0. Administration</v>
      </c>
      <c r="C10" s="12">
        <v>0.08333333333333333</v>
      </c>
      <c r="D10" s="12">
        <v>0.125</v>
      </c>
      <c r="E10" s="12">
        <v>0.16666666666666666</v>
      </c>
      <c r="F10" s="13"/>
      <c r="G10" s="13"/>
      <c r="H10" s="13"/>
      <c r="I10" s="13"/>
      <c r="J10" s="13"/>
      <c r="K10" s="13"/>
      <c r="L10" s="13"/>
    </row>
    <row r="11" ht="14.25" customHeight="1">
      <c r="B11" t="str">
        <f t="array" ref="B11">INDEX(Tasks,6,2)</f>
        <v>Sprint Task 1. Create website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</row>
    <row r="12" ht="14.25" customHeight="1">
      <c r="B12" t="str">
        <f t="array" ref="B12">INDEX(Tasks,7,2)</f>
        <v>Sprint Task 2. Create visualization 1</v>
      </c>
      <c r="C12" s="13"/>
      <c r="D12" s="13"/>
      <c r="E12" s="13"/>
      <c r="F12" s="13"/>
      <c r="G12" s="13"/>
      <c r="H12" s="13"/>
      <c r="I12" s="13"/>
      <c r="J12" s="13"/>
      <c r="K12" s="13"/>
      <c r="L12" s="13"/>
    </row>
    <row r="13" ht="14.25" customHeight="1">
      <c r="B13" t="str">
        <f t="array" ref="B13">INDEX(Tasks,8,2)</f>
        <v>Sprint Task 3. Allow for data upload</v>
      </c>
      <c r="C13" s="13"/>
      <c r="D13" s="13"/>
      <c r="E13" s="12">
        <v>0.16666666666666666</v>
      </c>
      <c r="F13" s="13"/>
      <c r="G13" s="13"/>
      <c r="H13" s="13"/>
      <c r="I13" s="13"/>
      <c r="J13" s="13"/>
      <c r="K13" s="13"/>
      <c r="L13" s="13"/>
    </row>
    <row r="14" ht="14.25" customHeight="1">
      <c r="B14" t="str">
        <f t="array" ref="B14">INDEX(Tasks,9,2)</f>
        <v>Sprint Task 4. Create draft interim report</v>
      </c>
      <c r="C14" s="13"/>
      <c r="D14" s="12">
        <v>0.020833333333333332</v>
      </c>
      <c r="E14" s="12">
        <v>0.020833333333333332</v>
      </c>
      <c r="F14" s="13"/>
      <c r="G14" s="13"/>
      <c r="H14" s="13"/>
      <c r="I14" s="13"/>
      <c r="J14" s="13"/>
      <c r="K14" s="13"/>
      <c r="L14" s="13"/>
    </row>
    <row r="15" ht="14.25" customHeight="1">
      <c r="B15" t="str">
        <f t="array" ref="B15">INDEX(Tasks,10,2)</f>
        <v>Sprint Task 5. Create visualization 2</v>
      </c>
      <c r="C15" s="13"/>
      <c r="D15" s="13"/>
      <c r="E15" s="13"/>
      <c r="F15" s="13"/>
      <c r="G15" s="13"/>
      <c r="H15" s="13"/>
      <c r="I15" s="13"/>
      <c r="J15" s="13"/>
      <c r="K15" s="13"/>
      <c r="L15" s="13"/>
    </row>
    <row r="16" ht="14.25" customHeight="1">
      <c r="B16" t="str">
        <f t="array" ref="B16">INDEX(Tasks,11,2)</f>
        <v>Sprint Task 6. Add interactions</v>
      </c>
      <c r="C16" s="13"/>
      <c r="D16" s="13"/>
      <c r="E16" s="13"/>
      <c r="F16" s="13"/>
      <c r="G16" s="13"/>
      <c r="H16" s="13"/>
      <c r="I16" s="13"/>
      <c r="J16" s="13"/>
      <c r="K16" s="13"/>
      <c r="L16" s="13"/>
    </row>
    <row r="17" ht="14.25" customHeight="1">
      <c r="B17" t="str">
        <f t="array" ref="B17">INDEX(Tasks,12,2)</f>
        <v>Sprint Task 7. Create interim video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</row>
    <row r="18" ht="14.25" customHeight="1">
      <c r="B18" t="str">
        <f t="array" ref="B18">INDEX(Tasks,13,2)</f>
        <v>Sprint Task 8. Scalability</v>
      </c>
      <c r="C18" s="13"/>
      <c r="D18" s="13"/>
      <c r="E18" s="13"/>
      <c r="F18" s="13"/>
      <c r="G18" s="13"/>
      <c r="H18" s="13"/>
      <c r="I18" s="13"/>
      <c r="J18" s="13"/>
      <c r="K18" s="13"/>
      <c r="L18" s="13"/>
    </row>
    <row r="19" ht="14.25" customHeight="1">
      <c r="B19" t="str">
        <f t="array" ref="B19">INDEX(Tasks,14,2)</f>
        <v>Sprint Task 9. Ordering in visualizations</v>
      </c>
      <c r="C19" s="13"/>
      <c r="D19" s="13"/>
      <c r="E19" s="13"/>
      <c r="F19" s="13"/>
      <c r="G19" s="13"/>
      <c r="H19" s="13"/>
      <c r="I19" s="13"/>
      <c r="J19" s="13"/>
      <c r="K19" s="13"/>
      <c r="L19" s="13"/>
    </row>
    <row r="20" ht="14.25" customHeight="1">
      <c r="B20" t="str">
        <f t="array" ref="B20">INDEX(Tasks,15,2)</f>
        <v>Sprint Task 10. Upgrade interactions</v>
      </c>
      <c r="C20" s="13"/>
      <c r="D20" s="13"/>
      <c r="E20" s="13"/>
      <c r="F20" s="13"/>
      <c r="G20" s="13"/>
      <c r="H20" s="13"/>
      <c r="I20" s="13"/>
      <c r="J20" s="13"/>
      <c r="K20" s="13"/>
      <c r="L20" s="13"/>
    </row>
    <row r="21" ht="14.25" customHeight="1">
      <c r="B21" t="str">
        <f t="array" ref="B21">INDEX(Tasks,16,2)</f>
        <v>Sprint Task 11. Upgrade the website</v>
      </c>
      <c r="C21" s="13"/>
      <c r="D21" s="13"/>
      <c r="E21" s="13"/>
      <c r="F21" s="13"/>
      <c r="G21" s="13"/>
      <c r="H21" s="13"/>
      <c r="I21" s="13"/>
      <c r="J21" s="13"/>
      <c r="K21" s="13"/>
      <c r="L21" s="13"/>
    </row>
    <row r="22" ht="14.25" customHeight="1">
      <c r="B22" t="str">
        <f t="array" ref="B22">INDEX(Tasks,17,2)</f>
        <v>Sprint Task 12. Create Final Report</v>
      </c>
      <c r="C22" s="13"/>
      <c r="D22" s="13"/>
      <c r="E22" s="13"/>
      <c r="F22" s="13"/>
      <c r="G22" s="13"/>
      <c r="H22" s="13"/>
      <c r="I22" s="13"/>
      <c r="J22" s="13"/>
      <c r="K22" s="13"/>
      <c r="L22" s="13"/>
    </row>
    <row r="23" ht="14.25" customHeight="1">
      <c r="B23" t="str">
        <f t="array" ref="B23">INDEX(Tasks,18,2)</f>
        <v>Sprint Task 13. Create Final Video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</row>
    <row r="24" ht="14.25" customHeight="1">
      <c r="B24" t="str">
        <f t="array" ref="B24">INDEX(Tasks,19,2)</f>
        <v>Sprint Task x.x</v>
      </c>
      <c r="C24" s="13"/>
      <c r="D24" s="13"/>
      <c r="E24" s="13"/>
      <c r="F24" s="13"/>
      <c r="G24" s="13"/>
      <c r="H24" s="13"/>
      <c r="I24" s="13"/>
      <c r="J24" s="13"/>
      <c r="K24" s="13"/>
      <c r="L24" s="13"/>
    </row>
    <row r="25" ht="14.25" customHeight="1">
      <c r="B25" t="str">
        <f t="array" ref="B25">INDEX(Tasks,20,2)</f>
        <v>Sprint Task x.x</v>
      </c>
      <c r="C25" s="21"/>
      <c r="D25" s="21"/>
      <c r="E25" s="21"/>
      <c r="F25" s="21"/>
      <c r="G25" s="21"/>
      <c r="H25" s="21"/>
      <c r="I25" s="21"/>
      <c r="J25" s="21"/>
      <c r="K25" s="21"/>
      <c r="L25" s="21"/>
    </row>
    <row r="26" ht="14.25" customHeight="1">
      <c r="C26" s="22">
        <f t="shared" ref="C26:L26" si="1">SUM(C6:C25)</f>
        <v>0.1875</v>
      </c>
      <c r="D26" s="22">
        <f t="shared" si="1"/>
        <v>0.2708333333</v>
      </c>
      <c r="E26" s="22">
        <f t="shared" si="1"/>
        <v>0.4166666667</v>
      </c>
      <c r="F26" s="22">
        <f t="shared" si="1"/>
        <v>0</v>
      </c>
      <c r="G26" s="22">
        <f t="shared" si="1"/>
        <v>0</v>
      </c>
      <c r="H26" s="22">
        <f t="shared" si="1"/>
        <v>0</v>
      </c>
      <c r="I26" s="22">
        <f t="shared" si="1"/>
        <v>0</v>
      </c>
      <c r="J26" s="22">
        <f t="shared" si="1"/>
        <v>0</v>
      </c>
      <c r="K26" s="22">
        <f t="shared" si="1"/>
        <v>0</v>
      </c>
      <c r="L26" s="22">
        <f t="shared" si="1"/>
        <v>0</v>
      </c>
    </row>
    <row r="27" ht="14.25" customHeight="1">
      <c r="C27" s="19"/>
      <c r="D27" s="19"/>
      <c r="E27" s="19"/>
      <c r="F27" s="19"/>
      <c r="G27" s="19"/>
      <c r="H27" s="19"/>
      <c r="I27" s="19"/>
      <c r="J27" s="19"/>
      <c r="K27" s="19"/>
      <c r="L27" s="19"/>
    </row>
    <row r="28" ht="14.25" customHeight="1">
      <c r="B28" t="s">
        <v>63</v>
      </c>
      <c r="C28" s="19">
        <f>SUM(C26)</f>
        <v>0.1875</v>
      </c>
      <c r="D28" s="19">
        <f t="shared" ref="D28:L28" si="2">SUM($C$26:D26)</f>
        <v>0.4583333333</v>
      </c>
      <c r="E28" s="19">
        <f t="shared" si="2"/>
        <v>0.875</v>
      </c>
      <c r="F28" s="19">
        <f t="shared" si="2"/>
        <v>0.875</v>
      </c>
      <c r="G28" s="19">
        <f t="shared" si="2"/>
        <v>0.875</v>
      </c>
      <c r="H28" s="19">
        <f t="shared" si="2"/>
        <v>0.875</v>
      </c>
      <c r="I28" s="19">
        <f t="shared" si="2"/>
        <v>0.875</v>
      </c>
      <c r="J28" s="19">
        <f t="shared" si="2"/>
        <v>0.875</v>
      </c>
      <c r="K28" s="19">
        <f t="shared" si="2"/>
        <v>0.875</v>
      </c>
      <c r="L28" s="19">
        <f t="shared" si="2"/>
        <v>0.875</v>
      </c>
    </row>
    <row r="29" ht="14.25" customHeight="1">
      <c r="B29" t="s">
        <v>64</v>
      </c>
      <c r="C29" s="19">
        <f>Parameters!$G$6-C28</f>
        <v>5.645833333</v>
      </c>
      <c r="D29" s="19">
        <f>Parameters!$G$6-D28</f>
        <v>5.375</v>
      </c>
      <c r="E29" s="19">
        <f>Parameters!$G$6-E28</f>
        <v>4.958333333</v>
      </c>
      <c r="F29" s="19">
        <f>Parameters!$G$6-F28</f>
        <v>4.958333333</v>
      </c>
      <c r="G29" s="19">
        <f>Parameters!$G$6-G28</f>
        <v>4.958333333</v>
      </c>
      <c r="H29" s="19">
        <f>Parameters!$G$6-H28</f>
        <v>4.958333333</v>
      </c>
      <c r="I29" s="19">
        <f>Parameters!$G$6-I28</f>
        <v>4.958333333</v>
      </c>
      <c r="J29" s="19">
        <f>Parameters!$G$6-J28</f>
        <v>4.958333333</v>
      </c>
      <c r="K29" s="19">
        <f>Parameters!$G$6-K28</f>
        <v>4.958333333</v>
      </c>
      <c r="L29" s="19">
        <f>Parameters!$G$6-L28</f>
        <v>4.958333333</v>
      </c>
    </row>
    <row r="30" ht="14.25" customHeight="1"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</row>
    <row r="31" ht="14.25" customHeight="1"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29"/>
    <col customWidth="1" min="2" max="2" width="34.43"/>
    <col customWidth="1" min="3" max="3" width="9.86"/>
    <col customWidth="1" min="4" max="26" width="8.71"/>
  </cols>
  <sheetData>
    <row r="1" ht="14.25" customHeight="1"/>
    <row r="2" ht="14.25" customHeight="1">
      <c r="A2" s="1" t="s">
        <v>0</v>
      </c>
      <c r="B2" t="str">
        <f t="array" ref="B2">INDEX(Participants,3,2)</f>
        <v>Jeroen</v>
      </c>
    </row>
    <row r="3" ht="14.25" customHeight="1"/>
    <row r="4" ht="14.25" customHeight="1">
      <c r="B4" s="4" t="s">
        <v>8</v>
      </c>
      <c r="C4" s="7">
        <v>1.0</v>
      </c>
      <c r="D4" s="7">
        <v>2.0</v>
      </c>
      <c r="E4" s="7">
        <v>3.0</v>
      </c>
      <c r="F4" s="7">
        <v>4.0</v>
      </c>
      <c r="G4" s="7">
        <v>5.0</v>
      </c>
      <c r="H4" s="7">
        <v>6.0</v>
      </c>
      <c r="I4" s="7">
        <v>7.0</v>
      </c>
      <c r="J4" s="7">
        <v>8.0</v>
      </c>
      <c r="K4" s="7">
        <v>9.0</v>
      </c>
      <c r="L4" s="7">
        <v>10.0</v>
      </c>
    </row>
    <row r="5" ht="14.25" customHeight="1">
      <c r="B5" s="2" t="s">
        <v>11</v>
      </c>
      <c r="C5" s="9"/>
      <c r="D5" s="9"/>
      <c r="E5" s="9"/>
      <c r="F5" s="9"/>
      <c r="G5" s="9"/>
      <c r="H5" s="9"/>
      <c r="I5" s="9"/>
      <c r="J5" s="9"/>
      <c r="K5" s="9"/>
      <c r="L5" s="9"/>
    </row>
    <row r="6" ht="14.25" customHeight="1">
      <c r="B6" t="str">
        <f t="array" ref="B6">INDEX(Tasks,1,2)</f>
        <v>Sprint Planning</v>
      </c>
      <c r="C6" s="12"/>
      <c r="D6" s="12">
        <v>0.0625</v>
      </c>
      <c r="E6" s="13"/>
      <c r="F6" s="12">
        <v>0.0625</v>
      </c>
      <c r="G6" s="13"/>
      <c r="H6" s="12">
        <v>0.0625</v>
      </c>
      <c r="I6" s="13"/>
      <c r="J6" s="12">
        <v>0.0625</v>
      </c>
      <c r="K6" s="13"/>
      <c r="L6" s="13"/>
    </row>
    <row r="7" ht="14.25" customHeight="1">
      <c r="B7" t="str">
        <f t="array" ref="B7">INDEX(Tasks,2,2)</f>
        <v>Daily Scrum</v>
      </c>
      <c r="C7" s="12">
        <v>0.16666666666666666</v>
      </c>
      <c r="D7" s="12">
        <v>0.16666666666666666</v>
      </c>
      <c r="E7" s="12">
        <v>0.16666666666666666</v>
      </c>
      <c r="F7" s="12">
        <v>0.16666666666666666</v>
      </c>
      <c r="G7" s="12">
        <v>0.16666666666666666</v>
      </c>
      <c r="H7" s="12">
        <v>0.16666666666666666</v>
      </c>
      <c r="I7" s="12">
        <v>0.08333333333333333</v>
      </c>
      <c r="J7" s="12">
        <v>0.08333333333333333</v>
      </c>
      <c r="K7" s="12">
        <v>0.25</v>
      </c>
      <c r="L7" s="13"/>
    </row>
    <row r="8" ht="14.25" customHeight="1">
      <c r="B8" t="str">
        <f t="array" ref="B8">INDEX(Tasks,3,2)</f>
        <v>Sprint Review</v>
      </c>
      <c r="C8" s="13"/>
      <c r="D8" s="13"/>
      <c r="E8" s="12">
        <v>0.041666666666666664</v>
      </c>
      <c r="F8" s="12">
        <v>0.041666666666666664</v>
      </c>
      <c r="G8" s="13"/>
      <c r="H8" s="13"/>
      <c r="I8" s="13"/>
      <c r="J8" s="13"/>
      <c r="K8" s="12">
        <v>0.125</v>
      </c>
      <c r="L8" s="13"/>
    </row>
    <row r="9" ht="14.25" customHeight="1">
      <c r="B9" t="str">
        <f t="array" ref="B9">INDEX(Tasks,4,2)</f>
        <v>Lectures/Plenary meetings</v>
      </c>
      <c r="C9" s="12">
        <v>0.08333333333333333</v>
      </c>
      <c r="D9" s="13"/>
      <c r="E9" s="13"/>
      <c r="F9" s="13"/>
      <c r="G9" s="13"/>
      <c r="H9" s="13"/>
      <c r="I9" s="13"/>
      <c r="J9" s="13"/>
      <c r="K9" s="13"/>
      <c r="L9" s="13"/>
    </row>
    <row r="10" ht="14.25" customHeight="1">
      <c r="B10" t="str">
        <f t="array" ref="B10">INDEX(Tasks,5,2)</f>
        <v>Sprint Task 0. Administration</v>
      </c>
      <c r="C10" s="12">
        <v>0.020833333333333332</v>
      </c>
      <c r="D10" s="13"/>
      <c r="E10" s="13"/>
      <c r="F10" s="13"/>
      <c r="G10" s="13"/>
      <c r="H10" s="13"/>
      <c r="I10" s="13"/>
      <c r="J10" s="13"/>
      <c r="K10" s="12">
        <v>0.08333333333333333</v>
      </c>
      <c r="L10" s="13"/>
    </row>
    <row r="11" ht="14.25" customHeight="1">
      <c r="B11" t="str">
        <f t="array" ref="B11">INDEX(Tasks,6,2)</f>
        <v>Sprint Task 1. Create website</v>
      </c>
      <c r="C11" s="12"/>
      <c r="D11" s="12"/>
      <c r="E11" s="13"/>
      <c r="F11" s="13"/>
      <c r="G11" s="13"/>
      <c r="H11" s="13"/>
      <c r="I11" s="13"/>
      <c r="J11" s="13"/>
      <c r="K11" s="13"/>
      <c r="L11" s="13"/>
    </row>
    <row r="12" ht="14.25" customHeight="1">
      <c r="B12" t="str">
        <f t="array" ref="B12">INDEX(Tasks,7,2)</f>
        <v>Sprint Task 2. Create visualization 1</v>
      </c>
      <c r="C12" s="12">
        <v>0.08333333333333333</v>
      </c>
      <c r="D12" s="12">
        <v>0.125</v>
      </c>
      <c r="E12" s="12">
        <v>0.08333333333333333</v>
      </c>
      <c r="F12" s="13"/>
      <c r="G12" s="13"/>
      <c r="H12" s="13"/>
      <c r="I12" s="13"/>
      <c r="J12" s="13"/>
      <c r="K12" s="13"/>
      <c r="L12" s="13"/>
    </row>
    <row r="13" ht="14.25" customHeight="1">
      <c r="B13" t="str">
        <f t="array" ref="B13">INDEX(Tasks,8,2)</f>
        <v>Sprint Task 3. Allow for data upload</v>
      </c>
      <c r="C13" s="13"/>
      <c r="D13" s="13"/>
      <c r="E13" s="13"/>
      <c r="F13" s="13"/>
      <c r="G13" s="13"/>
      <c r="H13" s="13"/>
      <c r="I13" s="13"/>
      <c r="J13" s="13"/>
      <c r="K13" s="13"/>
      <c r="L13" s="13"/>
    </row>
    <row r="14" ht="14.25" customHeight="1">
      <c r="B14" t="str">
        <f t="array" ref="B14">INDEX(Tasks,9,2)</f>
        <v>Sprint Task 4. Create draft interim report</v>
      </c>
      <c r="C14" s="13"/>
      <c r="D14" s="13"/>
      <c r="E14" s="12">
        <v>0.14583333333333334</v>
      </c>
      <c r="F14" s="12"/>
      <c r="G14" s="12">
        <v>0.125</v>
      </c>
      <c r="H14" s="13"/>
      <c r="I14" s="13"/>
      <c r="J14" s="13"/>
      <c r="K14" s="13"/>
      <c r="L14" s="13"/>
    </row>
    <row r="15" ht="14.25" customHeight="1">
      <c r="B15" t="str">
        <f t="array" ref="B15">INDEX(Tasks,10,2)</f>
        <v>Sprint Task 5. Create visualization 2</v>
      </c>
      <c r="C15" s="13"/>
      <c r="D15" s="13"/>
      <c r="E15" s="13"/>
      <c r="F15" s="13"/>
      <c r="G15" s="13"/>
      <c r="H15" s="13"/>
      <c r="I15" s="13"/>
      <c r="J15" s="13"/>
      <c r="K15" s="13"/>
      <c r="L15" s="13"/>
    </row>
    <row r="16" ht="14.25" customHeight="1">
      <c r="B16" t="str">
        <f t="array" ref="B16">INDEX(Tasks,11,2)</f>
        <v>Sprint Task 6. Add interactions</v>
      </c>
      <c r="C16" s="13"/>
      <c r="D16" s="12">
        <v>0.041666666666666664</v>
      </c>
      <c r="E16" s="12">
        <v>0.0625</v>
      </c>
      <c r="F16" s="12"/>
      <c r="G16" s="13"/>
      <c r="H16" s="13"/>
      <c r="I16" s="13"/>
      <c r="J16" s="13"/>
      <c r="K16" s="13"/>
      <c r="L16" s="13"/>
    </row>
    <row r="17" ht="14.25" customHeight="1">
      <c r="B17" t="str">
        <f t="array" ref="B17">INDEX(Tasks,12,2)</f>
        <v>Sprint Task 7. Create interim video</v>
      </c>
      <c r="C17" s="13"/>
      <c r="D17" s="13"/>
      <c r="E17" s="13"/>
      <c r="F17" s="13"/>
      <c r="G17" s="12">
        <v>0.125</v>
      </c>
      <c r="H17" s="13"/>
      <c r="I17" s="13"/>
      <c r="J17" s="13"/>
      <c r="K17" s="13"/>
      <c r="L17" s="13"/>
    </row>
    <row r="18" ht="14.25" customHeight="1">
      <c r="B18" t="str">
        <f t="array" ref="B18">INDEX(Tasks,13,2)</f>
        <v>Sprint Task 8. Scalability</v>
      </c>
      <c r="C18" s="13"/>
      <c r="D18" s="13"/>
      <c r="E18" s="13"/>
      <c r="F18" s="13"/>
      <c r="G18" s="13"/>
      <c r="H18" s="13"/>
      <c r="I18" s="13"/>
      <c r="J18" s="13"/>
      <c r="K18" s="13"/>
      <c r="L18" s="13"/>
    </row>
    <row r="19" ht="14.25" customHeight="1">
      <c r="B19" t="str">
        <f t="array" ref="B19">INDEX(Tasks,14,2)</f>
        <v>Sprint Task 9. Ordering in visualizations</v>
      </c>
      <c r="C19" s="13"/>
      <c r="D19" s="13"/>
      <c r="E19" s="13"/>
      <c r="F19" s="13"/>
      <c r="G19" s="13"/>
      <c r="H19" s="12">
        <v>0.2916666666666667</v>
      </c>
      <c r="I19" s="12">
        <v>0.3333333333333333</v>
      </c>
      <c r="J19" s="12">
        <v>0.08333333333333333</v>
      </c>
      <c r="K19" s="12">
        <v>0.25</v>
      </c>
      <c r="L19" s="13"/>
    </row>
    <row r="20" ht="14.25" customHeight="1">
      <c r="B20" t="str">
        <f t="array" ref="B20">INDEX(Tasks,15,2)</f>
        <v>Sprint Task 10. Upgrade interactions</v>
      </c>
      <c r="C20" s="13"/>
      <c r="D20" s="13"/>
      <c r="E20" s="13"/>
      <c r="F20" s="13"/>
      <c r="G20" s="13"/>
      <c r="H20" s="13"/>
      <c r="I20" s="13"/>
      <c r="J20" s="13"/>
      <c r="K20" s="12">
        <v>0.08333333333333333</v>
      </c>
      <c r="L20" s="13"/>
    </row>
    <row r="21" ht="14.25" customHeight="1">
      <c r="B21" t="str">
        <f t="array" ref="B21">INDEX(Tasks,16,2)</f>
        <v>Sprint Task 11. Upgrade the website</v>
      </c>
      <c r="C21" s="13"/>
      <c r="D21" s="13"/>
      <c r="E21" s="13"/>
      <c r="F21" s="13"/>
      <c r="G21" s="13"/>
      <c r="H21" s="13"/>
      <c r="I21" s="13"/>
      <c r="J21" s="13"/>
      <c r="K21" s="12">
        <v>0.041666666666666664</v>
      </c>
      <c r="L21" s="13"/>
    </row>
    <row r="22" ht="14.25" customHeight="1">
      <c r="B22" t="str">
        <f t="array" ref="B22">INDEX(Tasks,17,2)</f>
        <v>Sprint Task 12. Create Final Report</v>
      </c>
      <c r="C22" s="13"/>
      <c r="D22" s="13"/>
      <c r="E22" s="13"/>
      <c r="F22" s="13"/>
      <c r="G22" s="13"/>
      <c r="H22" s="13"/>
      <c r="I22" s="12">
        <v>0.08333333333333333</v>
      </c>
      <c r="J22" s="12">
        <v>0.375</v>
      </c>
      <c r="K22" s="24">
        <v>0.8333333333333334</v>
      </c>
      <c r="L22" s="13"/>
    </row>
    <row r="23" ht="14.25" customHeight="1">
      <c r="B23" t="str">
        <f t="array" ref="B23">INDEX(Tasks,18,2)</f>
        <v>Sprint Task 13. Create Final Video</v>
      </c>
      <c r="C23" s="13"/>
      <c r="D23" s="13"/>
      <c r="E23" s="13"/>
      <c r="F23" s="13"/>
      <c r="G23" s="13"/>
      <c r="H23" s="13"/>
      <c r="I23" s="13"/>
      <c r="J23" s="12">
        <v>0.125</v>
      </c>
      <c r="K23" s="13"/>
      <c r="L23" s="13"/>
    </row>
    <row r="24" ht="14.25" customHeight="1">
      <c r="B24" t="str">
        <f t="array" ref="B24">INDEX(Tasks,19,2)</f>
        <v>Sprint Task x.x</v>
      </c>
      <c r="C24" s="13"/>
      <c r="D24" s="13"/>
      <c r="E24" s="13"/>
      <c r="F24" s="13"/>
      <c r="G24" s="13"/>
      <c r="H24" s="13"/>
      <c r="I24" s="13"/>
      <c r="J24" s="13"/>
      <c r="K24" s="13"/>
      <c r="L24" s="13"/>
    </row>
    <row r="25" ht="14.25" customHeight="1">
      <c r="B25" t="str">
        <f t="array" ref="B25">INDEX(Tasks,20,2)</f>
        <v>Sprint Task x.x</v>
      </c>
      <c r="C25" s="21"/>
      <c r="D25" s="21"/>
      <c r="E25" s="21"/>
      <c r="F25" s="21"/>
      <c r="G25" s="21"/>
      <c r="H25" s="21"/>
      <c r="I25" s="21"/>
      <c r="J25" s="21"/>
      <c r="K25" s="21"/>
      <c r="L25" s="21"/>
    </row>
    <row r="26" ht="14.25" customHeight="1">
      <c r="C26" s="22">
        <f t="shared" ref="C26:L26" si="1">SUM(C6:C25)</f>
        <v>0.3541666667</v>
      </c>
      <c r="D26" s="22">
        <f t="shared" si="1"/>
        <v>0.3958333333</v>
      </c>
      <c r="E26" s="22">
        <f t="shared" si="1"/>
        <v>0.5</v>
      </c>
      <c r="F26" s="22">
        <f t="shared" si="1"/>
        <v>0.2708333333</v>
      </c>
      <c r="G26" s="22">
        <f t="shared" si="1"/>
        <v>0.4166666667</v>
      </c>
      <c r="H26" s="22">
        <f t="shared" si="1"/>
        <v>0.5208333333</v>
      </c>
      <c r="I26" s="22">
        <f t="shared" si="1"/>
        <v>0.5</v>
      </c>
      <c r="J26" s="22">
        <f t="shared" si="1"/>
        <v>0.7291666667</v>
      </c>
      <c r="K26" s="22">
        <f t="shared" si="1"/>
        <v>1.666666667</v>
      </c>
      <c r="L26" s="22">
        <f t="shared" si="1"/>
        <v>0</v>
      </c>
    </row>
    <row r="27" ht="14.25" customHeight="1">
      <c r="C27" s="19"/>
      <c r="D27" s="19"/>
      <c r="E27" s="19"/>
      <c r="F27" s="19"/>
      <c r="G27" s="19"/>
      <c r="H27" s="19"/>
      <c r="I27" s="19"/>
      <c r="J27" s="19"/>
      <c r="K27" s="19"/>
      <c r="L27" s="19"/>
    </row>
    <row r="28" ht="14.25" customHeight="1">
      <c r="B28" t="s">
        <v>63</v>
      </c>
      <c r="C28" s="19">
        <f>SUM(C26)</f>
        <v>0.3541666667</v>
      </c>
      <c r="D28" s="19">
        <f t="shared" ref="D28:L28" si="2">SUM($C$26:D26)</f>
        <v>0.75</v>
      </c>
      <c r="E28" s="19">
        <f t="shared" si="2"/>
        <v>1.25</v>
      </c>
      <c r="F28" s="19">
        <f t="shared" si="2"/>
        <v>1.520833333</v>
      </c>
      <c r="G28" s="19">
        <f t="shared" si="2"/>
        <v>1.9375</v>
      </c>
      <c r="H28" s="19">
        <f t="shared" si="2"/>
        <v>2.458333333</v>
      </c>
      <c r="I28" s="19">
        <f t="shared" si="2"/>
        <v>2.958333333</v>
      </c>
      <c r="J28" s="19">
        <f t="shared" si="2"/>
        <v>3.6875</v>
      </c>
      <c r="K28" s="19">
        <f t="shared" si="2"/>
        <v>5.354166667</v>
      </c>
      <c r="L28" s="19">
        <f t="shared" si="2"/>
        <v>5.354166667</v>
      </c>
    </row>
    <row r="29" ht="14.25" customHeight="1">
      <c r="B29" t="s">
        <v>64</v>
      </c>
      <c r="C29" s="19">
        <f>Parameters!$G$7-C28</f>
        <v>5.479166667</v>
      </c>
      <c r="D29" s="19">
        <f>Parameters!$G$7-D28</f>
        <v>5.083333333</v>
      </c>
      <c r="E29" s="19">
        <f>Parameters!$G$7-E28</f>
        <v>4.583333333</v>
      </c>
      <c r="F29" s="19">
        <f>Parameters!$G$7-F28</f>
        <v>4.3125</v>
      </c>
      <c r="G29" s="19">
        <f>Parameters!$G$7-G28</f>
        <v>3.895833333</v>
      </c>
      <c r="H29" s="19">
        <f>Parameters!$G$7-H28</f>
        <v>3.375</v>
      </c>
      <c r="I29" s="19">
        <f>Parameters!$G$7-I28</f>
        <v>2.875</v>
      </c>
      <c r="J29" s="19">
        <f>Parameters!$G$7-J28</f>
        <v>2.145833333</v>
      </c>
      <c r="K29" s="19">
        <f>Parameters!$G$7-K28</f>
        <v>0.4791666667</v>
      </c>
      <c r="L29" s="19">
        <f>Parameters!$G$7-L28</f>
        <v>0.4791666667</v>
      </c>
    </row>
    <row r="30" ht="14.25" customHeight="1"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</row>
    <row r="31" ht="14.25" customHeight="1"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43"/>
    <col customWidth="1" min="2" max="2" width="34.71"/>
    <col customWidth="1" min="3" max="26" width="8.71"/>
  </cols>
  <sheetData>
    <row r="1" ht="14.25" customHeight="1"/>
    <row r="2" ht="14.25" customHeight="1">
      <c r="A2" s="1" t="s">
        <v>0</v>
      </c>
      <c r="B2" s="25" t="str">
        <f t="array" ref="B2">INDEX(Participants,4,2)</f>
        <v>Julek</v>
      </c>
    </row>
    <row r="3" ht="14.25" customHeight="1"/>
    <row r="4" ht="14.25" customHeight="1">
      <c r="B4" s="4" t="s">
        <v>8</v>
      </c>
      <c r="C4" s="7">
        <v>1.0</v>
      </c>
      <c r="D4" s="7">
        <v>2.0</v>
      </c>
      <c r="E4" s="7">
        <v>3.0</v>
      </c>
      <c r="F4" s="7">
        <v>4.0</v>
      </c>
      <c r="G4" s="7">
        <v>5.0</v>
      </c>
      <c r="H4" s="7">
        <v>6.0</v>
      </c>
      <c r="I4" s="7">
        <v>7.0</v>
      </c>
      <c r="J4" s="7">
        <v>8.0</v>
      </c>
      <c r="K4" s="7">
        <v>9.0</v>
      </c>
      <c r="L4" s="7">
        <v>10.0</v>
      </c>
    </row>
    <row r="5" ht="14.25" customHeight="1">
      <c r="B5" s="2" t="s">
        <v>11</v>
      </c>
      <c r="C5" s="9"/>
      <c r="D5" s="9"/>
      <c r="E5" s="9"/>
      <c r="F5" s="9"/>
      <c r="G5" s="9"/>
      <c r="H5" s="9"/>
      <c r="I5" s="9"/>
      <c r="J5" s="9"/>
      <c r="K5" s="9"/>
      <c r="L5" s="9"/>
    </row>
    <row r="6" ht="14.25" customHeight="1">
      <c r="B6" t="str">
        <f t="array" ref="B6">INDEX(Tasks,1,2)</f>
        <v>Sprint Planning</v>
      </c>
      <c r="C6" s="12">
        <v>0.041666666666666664</v>
      </c>
      <c r="D6" s="12">
        <v>0.08333333333333333</v>
      </c>
      <c r="E6" s="12">
        <v>0.020833333333333332</v>
      </c>
      <c r="F6" s="12">
        <v>0.020833333333333332</v>
      </c>
      <c r="G6" s="13"/>
      <c r="H6" s="13"/>
      <c r="I6" s="13"/>
      <c r="J6" s="13"/>
      <c r="K6" s="13"/>
      <c r="L6" s="13"/>
    </row>
    <row r="7" ht="14.25" customHeight="1">
      <c r="B7" t="str">
        <f t="array" ref="B7">INDEX(Tasks,2,2)</f>
        <v>Daily Scrum</v>
      </c>
      <c r="C7" s="12">
        <v>0.020833333333333332</v>
      </c>
      <c r="D7" s="12">
        <v>0.041666666666666664</v>
      </c>
      <c r="E7" s="26">
        <v>0.041666666666666664</v>
      </c>
      <c r="F7" s="12">
        <v>0.08333333333333333</v>
      </c>
      <c r="G7" s="12">
        <v>0.041666666666666664</v>
      </c>
      <c r="H7" s="26">
        <v>0.08333333333333333</v>
      </c>
      <c r="I7" s="12">
        <v>0.041666666666666664</v>
      </c>
      <c r="J7" s="12">
        <v>0.0625</v>
      </c>
      <c r="K7" s="12">
        <v>0.16666666666666666</v>
      </c>
      <c r="L7" s="13"/>
    </row>
    <row r="8" ht="14.25" customHeight="1">
      <c r="B8" t="str">
        <f t="array" ref="B8">INDEX(Tasks,3,2)</f>
        <v>Sprint Review</v>
      </c>
      <c r="C8" s="13"/>
      <c r="D8" s="12">
        <v>0.020833333333333332</v>
      </c>
      <c r="E8" s="13"/>
      <c r="F8" s="12">
        <v>0.041666666666666664</v>
      </c>
      <c r="G8" s="12">
        <v>0.020833333333333332</v>
      </c>
      <c r="H8" s="12">
        <v>0.041666666666666664</v>
      </c>
      <c r="I8" s="12">
        <v>0.0625</v>
      </c>
      <c r="J8" s="12">
        <v>0.0625</v>
      </c>
      <c r="K8" s="12">
        <v>0.08333333333333333</v>
      </c>
      <c r="L8" s="13"/>
    </row>
    <row r="9" ht="14.25" customHeight="1">
      <c r="B9" t="str">
        <f t="array" ref="B9">INDEX(Tasks,4,2)</f>
        <v>Lectures/Plenary meetings</v>
      </c>
      <c r="C9" s="12">
        <v>0.041666666666666664</v>
      </c>
      <c r="D9" s="13"/>
      <c r="E9" s="13"/>
      <c r="F9" s="12">
        <v>0.041666666666666664</v>
      </c>
      <c r="G9" s="12"/>
      <c r="H9" s="13"/>
      <c r="I9" s="13"/>
      <c r="J9" s="13"/>
      <c r="K9" s="13"/>
      <c r="L9" s="13"/>
    </row>
    <row r="10" ht="14.25" customHeight="1">
      <c r="B10" t="str">
        <f t="array" ref="B10">INDEX(Tasks,5,2)</f>
        <v>Sprint Task 0. Administration</v>
      </c>
      <c r="C10" s="12">
        <v>0.0625</v>
      </c>
      <c r="D10" s="12">
        <v>0.08333333333333333</v>
      </c>
      <c r="E10" s="12">
        <v>0.041666666666666664</v>
      </c>
      <c r="F10" s="12">
        <v>0.041666666666666664</v>
      </c>
      <c r="G10" s="12">
        <v>0.020833333333333332</v>
      </c>
      <c r="H10" s="13"/>
      <c r="I10" s="13"/>
      <c r="J10" s="13"/>
      <c r="K10" s="13"/>
      <c r="L10" s="13"/>
    </row>
    <row r="11" ht="14.25" customHeight="1">
      <c r="B11" t="str">
        <f t="array" ref="B11">INDEX(Tasks,6,2)</f>
        <v>Sprint Task 1. Create website</v>
      </c>
      <c r="C11" s="12">
        <v>0.25</v>
      </c>
      <c r="D11" s="12">
        <v>0.20833333333333334</v>
      </c>
      <c r="E11" s="13"/>
      <c r="F11" s="12">
        <v>0.10416666666666667</v>
      </c>
      <c r="G11" s="12">
        <v>0.08333333333333333</v>
      </c>
      <c r="H11" s="12"/>
      <c r="I11" s="13"/>
      <c r="J11" s="13"/>
      <c r="K11" s="13"/>
      <c r="L11" s="13"/>
    </row>
    <row r="12" ht="14.25" customHeight="1">
      <c r="B12" t="str">
        <f t="array" ref="B12">INDEX(Tasks,7,2)</f>
        <v>Sprint Task 2. Create visualization 1</v>
      </c>
      <c r="C12" s="13"/>
      <c r="D12" s="13"/>
      <c r="E12" s="13"/>
      <c r="F12" s="13"/>
      <c r="G12" s="13"/>
      <c r="H12" s="13"/>
      <c r="I12" s="13"/>
      <c r="J12" s="13"/>
      <c r="K12" s="13"/>
      <c r="L12" s="13"/>
    </row>
    <row r="13" ht="14.25" customHeight="1">
      <c r="B13" t="str">
        <f t="array" ref="B13">INDEX(Tasks,8,2)</f>
        <v>Sprint Task 3. Allow for data upload</v>
      </c>
      <c r="C13" s="13"/>
      <c r="D13" s="13"/>
      <c r="E13" s="13"/>
      <c r="F13" s="13"/>
      <c r="G13" s="13"/>
      <c r="H13" s="13"/>
      <c r="I13" s="13"/>
      <c r="J13" s="13"/>
      <c r="K13" s="13"/>
      <c r="L13" s="13"/>
    </row>
    <row r="14" ht="14.25" customHeight="1">
      <c r="B14" t="str">
        <f t="array" ref="B14">INDEX(Tasks,9,2)</f>
        <v>Sprint Task 4. Create draft interim report</v>
      </c>
      <c r="C14" s="13"/>
      <c r="D14" s="13"/>
      <c r="E14" s="12">
        <v>0.16666666666666666</v>
      </c>
      <c r="F14" s="12">
        <v>0.25</v>
      </c>
      <c r="G14" s="26">
        <v>0.125</v>
      </c>
      <c r="H14" s="13"/>
      <c r="I14" s="13"/>
      <c r="J14" s="13"/>
      <c r="K14" s="13"/>
      <c r="L14" s="13"/>
    </row>
    <row r="15" ht="14.25" customHeight="1">
      <c r="B15" t="str">
        <f t="array" ref="B15">INDEX(Tasks,10,2)</f>
        <v>Sprint Task 5. Create visualization 2</v>
      </c>
      <c r="C15" s="13"/>
      <c r="D15" s="13"/>
      <c r="E15" s="13"/>
      <c r="F15" s="13"/>
      <c r="G15" s="13"/>
      <c r="H15" s="13"/>
      <c r="I15" s="13"/>
      <c r="J15" s="13"/>
      <c r="K15" s="13"/>
      <c r="L15" s="13"/>
    </row>
    <row r="16" ht="14.25" customHeight="1">
      <c r="B16" t="str">
        <f t="array" ref="B16">INDEX(Tasks,11,2)</f>
        <v>Sprint Task 6. Add interactions</v>
      </c>
      <c r="C16" s="13"/>
      <c r="D16" s="13"/>
      <c r="E16" s="13"/>
      <c r="F16" s="13"/>
      <c r="G16" s="13"/>
      <c r="H16" s="13"/>
      <c r="I16" s="13"/>
      <c r="J16" s="13"/>
      <c r="K16" s="13"/>
      <c r="L16" s="13"/>
    </row>
    <row r="17" ht="14.25" customHeight="1">
      <c r="B17" t="str">
        <f t="array" ref="B17">INDEX(Tasks,12,2)</f>
        <v>Sprint Task 7. Create interim video</v>
      </c>
      <c r="C17" s="13"/>
      <c r="D17" s="13"/>
      <c r="E17" s="13"/>
      <c r="F17" s="13"/>
      <c r="G17" s="12">
        <v>0.16666666666666666</v>
      </c>
      <c r="H17" s="13"/>
      <c r="I17" s="13"/>
      <c r="J17" s="13"/>
      <c r="K17" s="13"/>
      <c r="L17" s="13"/>
    </row>
    <row r="18" ht="14.25" customHeight="1">
      <c r="B18" t="str">
        <f t="array" ref="B18">INDEX(Tasks,13,2)</f>
        <v>Sprint Task 8. Scalability</v>
      </c>
      <c r="C18" s="13"/>
      <c r="D18" s="13"/>
      <c r="E18" s="13"/>
      <c r="F18" s="13"/>
      <c r="G18" s="13"/>
      <c r="H18" s="13"/>
      <c r="I18" s="13"/>
      <c r="J18" s="13"/>
      <c r="K18" s="13"/>
      <c r="L18" s="13"/>
    </row>
    <row r="19" ht="14.25" customHeight="1">
      <c r="B19" t="str">
        <f t="array" ref="B19">INDEX(Tasks,14,2)</f>
        <v>Sprint Task 9. Ordering in visualizations</v>
      </c>
      <c r="C19" s="13"/>
      <c r="D19" s="13"/>
      <c r="E19" s="13"/>
      <c r="F19" s="13"/>
      <c r="G19" s="13"/>
      <c r="H19" s="12">
        <v>0.08333333333333333</v>
      </c>
      <c r="I19" s="12">
        <v>0.16666666666666666</v>
      </c>
      <c r="J19" s="13"/>
      <c r="K19" s="13"/>
      <c r="L19" s="13"/>
    </row>
    <row r="20" ht="14.25" customHeight="1">
      <c r="B20" t="str">
        <f t="array" ref="B20">INDEX(Tasks,15,2)</f>
        <v>Sprint Task 10. Upgrade interactions</v>
      </c>
      <c r="C20" s="13"/>
      <c r="D20" s="13"/>
      <c r="E20" s="13"/>
      <c r="F20" s="13"/>
      <c r="G20" s="13"/>
      <c r="H20" s="13"/>
      <c r="I20" s="13"/>
      <c r="J20" s="13"/>
      <c r="K20" s="13"/>
      <c r="L20" s="13"/>
    </row>
    <row r="21" ht="14.25" customHeight="1">
      <c r="B21" t="str">
        <f t="array" ref="B21">INDEX(Tasks,16,2)</f>
        <v>Sprint Task 11. Upgrade the website</v>
      </c>
      <c r="C21" s="13"/>
      <c r="D21" s="13"/>
      <c r="E21" s="13"/>
      <c r="F21" s="13"/>
      <c r="G21" s="13"/>
      <c r="H21" s="12">
        <v>0.20833333333333334</v>
      </c>
      <c r="I21" s="12">
        <v>0.2916666666666667</v>
      </c>
      <c r="J21" s="12">
        <v>0.20833333333333334</v>
      </c>
      <c r="K21" s="12">
        <v>0.25</v>
      </c>
      <c r="L21" s="13"/>
    </row>
    <row r="22" ht="14.25" customHeight="1">
      <c r="B22" t="str">
        <f t="array" ref="B22">INDEX(Tasks,17,2)</f>
        <v>Sprint Task 12. Create Final Report</v>
      </c>
      <c r="C22" s="13"/>
      <c r="D22" s="13"/>
      <c r="E22" s="13"/>
      <c r="F22" s="13"/>
      <c r="G22" s="13"/>
      <c r="H22" s="13"/>
      <c r="I22" s="13"/>
      <c r="J22" s="12">
        <v>0.1875</v>
      </c>
      <c r="K22" s="12">
        <v>0.25</v>
      </c>
      <c r="L22" s="13"/>
    </row>
    <row r="23" ht="14.25" customHeight="1">
      <c r="B23" t="str">
        <f t="array" ref="B23">INDEX(Tasks,18,2)</f>
        <v>Sprint Task 13. Create Final Video</v>
      </c>
      <c r="C23" s="13"/>
      <c r="D23" s="13"/>
      <c r="E23" s="13"/>
      <c r="F23" s="13"/>
      <c r="G23" s="13"/>
      <c r="H23" s="13"/>
      <c r="I23" s="13"/>
      <c r="J23" s="12">
        <v>0.4166666666666667</v>
      </c>
      <c r="K23" s="12">
        <v>0.2916666666666667</v>
      </c>
      <c r="L23" s="13"/>
    </row>
    <row r="24" ht="14.25" customHeight="1">
      <c r="B24" t="str">
        <f t="array" ref="B24">INDEX(Tasks,19,2)</f>
        <v>Sprint Task x.x</v>
      </c>
      <c r="C24" s="13"/>
      <c r="D24" s="13"/>
      <c r="E24" s="13"/>
      <c r="F24" s="13"/>
      <c r="G24" s="13"/>
      <c r="H24" s="13"/>
      <c r="I24" s="13"/>
      <c r="J24" s="13"/>
      <c r="K24" s="13"/>
      <c r="L24" s="13"/>
    </row>
    <row r="25" ht="14.25" customHeight="1">
      <c r="B25" t="str">
        <f t="array" ref="B25">INDEX(Tasks,20,2)</f>
        <v>Sprint Task x.x</v>
      </c>
      <c r="C25" s="21"/>
      <c r="D25" s="21"/>
      <c r="E25" s="21"/>
      <c r="F25" s="21"/>
      <c r="G25" s="21"/>
      <c r="H25" s="21"/>
      <c r="I25" s="21"/>
      <c r="J25" s="21"/>
      <c r="K25" s="21"/>
      <c r="L25" s="21"/>
    </row>
    <row r="26" ht="14.25" customHeight="1">
      <c r="C26" s="22">
        <f t="shared" ref="C26:L26" si="1">SUM(C6:C25)</f>
        <v>0.4166666667</v>
      </c>
      <c r="D26" s="22">
        <f t="shared" si="1"/>
        <v>0.4375</v>
      </c>
      <c r="E26" s="22">
        <f t="shared" si="1"/>
        <v>0.2708333333</v>
      </c>
      <c r="F26" s="22">
        <f t="shared" si="1"/>
        <v>0.5833333333</v>
      </c>
      <c r="G26" s="22">
        <f t="shared" si="1"/>
        <v>0.4583333333</v>
      </c>
      <c r="H26" s="22">
        <f t="shared" si="1"/>
        <v>0.4166666667</v>
      </c>
      <c r="I26" s="22">
        <f t="shared" si="1"/>
        <v>0.5625</v>
      </c>
      <c r="J26" s="22">
        <f t="shared" si="1"/>
        <v>0.9375</v>
      </c>
      <c r="K26" s="22">
        <f t="shared" si="1"/>
        <v>1.041666667</v>
      </c>
      <c r="L26" s="22">
        <f t="shared" si="1"/>
        <v>0</v>
      </c>
    </row>
    <row r="27" ht="14.25" customHeight="1">
      <c r="C27" s="19"/>
      <c r="D27" s="19"/>
      <c r="E27" s="19"/>
      <c r="F27" s="19"/>
      <c r="G27" s="19"/>
      <c r="H27" s="19"/>
      <c r="I27" s="19"/>
      <c r="J27" s="19"/>
      <c r="K27" s="19"/>
      <c r="L27" s="19"/>
    </row>
    <row r="28" ht="14.25" customHeight="1">
      <c r="B28" t="s">
        <v>63</v>
      </c>
      <c r="C28" s="19">
        <f>SUM(C26)</f>
        <v>0.4166666667</v>
      </c>
      <c r="D28" s="19">
        <f t="shared" ref="D28:L28" si="2">SUM($C$26:D26)</f>
        <v>0.8541666667</v>
      </c>
      <c r="E28" s="19">
        <f t="shared" si="2"/>
        <v>1.125</v>
      </c>
      <c r="F28" s="19">
        <f t="shared" si="2"/>
        <v>1.708333333</v>
      </c>
      <c r="G28" s="19">
        <f t="shared" si="2"/>
        <v>2.166666667</v>
      </c>
      <c r="H28" s="19">
        <f t="shared" si="2"/>
        <v>2.583333333</v>
      </c>
      <c r="I28" s="19">
        <f t="shared" si="2"/>
        <v>3.145833333</v>
      </c>
      <c r="J28" s="19">
        <f t="shared" si="2"/>
        <v>4.083333333</v>
      </c>
      <c r="K28" s="19">
        <f t="shared" si="2"/>
        <v>5.125</v>
      </c>
      <c r="L28" s="19">
        <f t="shared" si="2"/>
        <v>5.125</v>
      </c>
    </row>
    <row r="29" ht="14.25" customHeight="1">
      <c r="B29" t="s">
        <v>64</v>
      </c>
      <c r="C29" s="19">
        <f>Parameters!$G$8-C28</f>
        <v>5.416666667</v>
      </c>
      <c r="D29" s="19">
        <f>Parameters!$G$8-D28</f>
        <v>4.979166667</v>
      </c>
      <c r="E29" s="19">
        <f>Parameters!$G$8-E28</f>
        <v>4.708333333</v>
      </c>
      <c r="F29" s="19">
        <f>Parameters!$G$8-F28</f>
        <v>4.125</v>
      </c>
      <c r="G29" s="19">
        <f>Parameters!$G$8-G28</f>
        <v>3.666666667</v>
      </c>
      <c r="H29" s="19">
        <f>Parameters!$G$8-H28</f>
        <v>3.25</v>
      </c>
      <c r="I29" s="19">
        <f>Parameters!$G$8-I28</f>
        <v>2.6875</v>
      </c>
      <c r="J29" s="19">
        <f>Parameters!$G$8-J28</f>
        <v>1.75</v>
      </c>
      <c r="K29" s="19">
        <f>Parameters!$G$8-K28</f>
        <v>0.7083333333</v>
      </c>
      <c r="L29" s="19">
        <f>Parameters!$G$8-L28</f>
        <v>0.7083333333</v>
      </c>
    </row>
    <row r="30" ht="14.25" customHeight="1"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</row>
    <row r="31" ht="14.25" customHeight="1"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86"/>
    <col customWidth="1" min="2" max="2" width="34.57"/>
    <col customWidth="1" min="3" max="26" width="8.71"/>
  </cols>
  <sheetData>
    <row r="1" ht="14.25" customHeight="1"/>
    <row r="2" ht="14.25" customHeight="1">
      <c r="A2" s="1" t="s">
        <v>0</v>
      </c>
      <c r="B2" t="str">
        <f t="array" ref="B2">INDEX(Participants,6,2)</f>
        <v>Theo</v>
      </c>
    </row>
    <row r="3" ht="14.25" customHeight="1"/>
    <row r="4" ht="14.25" customHeight="1">
      <c r="B4" s="4" t="s">
        <v>8</v>
      </c>
      <c r="C4" s="7">
        <v>1.0</v>
      </c>
      <c r="D4" s="7">
        <v>2.0</v>
      </c>
      <c r="E4" s="7">
        <v>3.0</v>
      </c>
      <c r="F4" s="7">
        <v>4.0</v>
      </c>
      <c r="G4" s="7">
        <v>5.0</v>
      </c>
      <c r="H4" s="7">
        <v>6.0</v>
      </c>
      <c r="I4" s="7">
        <v>7.0</v>
      </c>
      <c r="J4" s="7">
        <v>8.0</v>
      </c>
      <c r="K4" s="7">
        <v>9.0</v>
      </c>
      <c r="L4" s="7">
        <v>10.0</v>
      </c>
    </row>
    <row r="5" ht="14.25" customHeight="1">
      <c r="B5" s="2" t="s">
        <v>11</v>
      </c>
      <c r="C5" s="9"/>
      <c r="D5" s="9"/>
      <c r="E5" s="9"/>
      <c r="F5" s="9"/>
      <c r="G5" s="9"/>
      <c r="H5" s="9"/>
      <c r="I5" s="9"/>
      <c r="J5" s="9"/>
      <c r="K5" s="9"/>
      <c r="L5" s="9"/>
    </row>
    <row r="6" ht="14.25" customHeight="1">
      <c r="B6" t="str">
        <f t="array" ref="B6">INDEX(Tasks,1,2)</f>
        <v>Sprint Planning</v>
      </c>
      <c r="C6" s="12">
        <v>0.041666666666666664</v>
      </c>
      <c r="D6" s="12">
        <v>0.08333333333333333</v>
      </c>
      <c r="E6" s="12">
        <v>0.041666666666666664</v>
      </c>
      <c r="F6" s="12">
        <v>0.020833333333333332</v>
      </c>
      <c r="G6" s="13"/>
      <c r="H6" s="12">
        <v>0.0625</v>
      </c>
      <c r="I6" s="13"/>
      <c r="J6" s="13"/>
      <c r="K6" s="12">
        <v>0.041666666666666664</v>
      </c>
      <c r="L6" s="13"/>
    </row>
    <row r="7" ht="14.25" customHeight="1">
      <c r="B7" t="str">
        <f t="array" ref="B7">INDEX(Tasks,2,2)</f>
        <v>Daily Scrum</v>
      </c>
      <c r="C7" s="12">
        <v>0.020833333333333332</v>
      </c>
      <c r="D7" s="12">
        <v>0.0625</v>
      </c>
      <c r="E7" s="12">
        <v>0.0625</v>
      </c>
      <c r="F7" s="12">
        <v>0.0625</v>
      </c>
      <c r="G7" s="12">
        <v>0.041666666666666664</v>
      </c>
      <c r="H7" s="12">
        <v>0.041666666666666664</v>
      </c>
      <c r="I7" s="12">
        <v>0.041666666666666664</v>
      </c>
      <c r="J7" s="12">
        <v>0.020833333333333332</v>
      </c>
      <c r="K7" s="26">
        <v>0.0625</v>
      </c>
      <c r="L7" s="13"/>
    </row>
    <row r="8" ht="14.25" customHeight="1">
      <c r="B8" t="str">
        <f t="array" ref="B8">INDEX(Tasks,3,2)</f>
        <v>Sprint Review</v>
      </c>
      <c r="C8" s="13"/>
      <c r="D8" s="12">
        <v>0.020833333333333332</v>
      </c>
      <c r="E8" s="13"/>
      <c r="F8" s="12">
        <v>0.020833333333333332</v>
      </c>
      <c r="G8" s="12">
        <v>0.020833333333333332</v>
      </c>
      <c r="H8" s="13"/>
      <c r="I8" s="12">
        <v>0.0625</v>
      </c>
      <c r="J8" s="13"/>
      <c r="K8" s="12">
        <v>0.041666666666666664</v>
      </c>
      <c r="L8" s="13"/>
    </row>
    <row r="9" ht="14.25" customHeight="1">
      <c r="B9" t="str">
        <f t="array" ref="B9">INDEX(Tasks,4,2)</f>
        <v>Lectures/Plenary meetings</v>
      </c>
      <c r="C9" s="12">
        <v>0.041666666666666664</v>
      </c>
      <c r="D9" s="13"/>
      <c r="E9" s="13"/>
      <c r="F9" s="13"/>
      <c r="G9" s="13"/>
      <c r="H9" s="13"/>
      <c r="I9" s="13"/>
      <c r="J9" s="13"/>
      <c r="K9" s="13"/>
      <c r="L9" s="13"/>
    </row>
    <row r="10" ht="14.25" customHeight="1">
      <c r="B10" t="str">
        <f t="array" ref="B10">INDEX(Tasks,5,2)</f>
        <v>Sprint Task 0. Administration</v>
      </c>
      <c r="C10" s="12">
        <v>0.08333333333333333</v>
      </c>
      <c r="D10" s="12">
        <v>0.16666666666666666</v>
      </c>
      <c r="E10" s="26">
        <v>0.08333333333333333</v>
      </c>
      <c r="F10" s="12">
        <v>0.041666666666666664</v>
      </c>
      <c r="H10" s="13"/>
      <c r="I10" s="13"/>
      <c r="J10" s="13"/>
      <c r="K10" s="13"/>
      <c r="L10" s="13"/>
    </row>
    <row r="11" ht="14.25" customHeight="1">
      <c r="B11" t="str">
        <f t="array" ref="B11">INDEX(Tasks,6,2)</f>
        <v>Sprint Task 1. Create website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</row>
    <row r="12" ht="14.25" customHeight="1">
      <c r="B12" t="str">
        <f t="array" ref="B12">INDEX(Tasks,7,2)</f>
        <v>Sprint Task 2. Create visualization 1</v>
      </c>
      <c r="C12" s="13"/>
      <c r="D12" s="13"/>
      <c r="E12" s="13"/>
      <c r="F12" s="13"/>
      <c r="G12" s="13"/>
      <c r="H12" s="13"/>
      <c r="I12" s="13"/>
      <c r="J12" s="13"/>
      <c r="K12" s="13"/>
      <c r="L12" s="13"/>
    </row>
    <row r="13" ht="14.25" customHeight="1">
      <c r="B13" t="str">
        <f t="array" ref="B13">INDEX(Tasks,8,2)</f>
        <v>Sprint Task 3. Allow for data upload</v>
      </c>
      <c r="C13" s="12">
        <v>0.08333333333333333</v>
      </c>
      <c r="D13" s="12">
        <v>0.041666666666666664</v>
      </c>
      <c r="E13" s="26">
        <v>0.2916666666666667</v>
      </c>
      <c r="F13" s="12">
        <v>0.08333333333333333</v>
      </c>
      <c r="G13" s="13"/>
      <c r="H13" s="13"/>
      <c r="I13" s="13"/>
      <c r="J13" s="13"/>
      <c r="K13" s="13"/>
      <c r="L13" s="13"/>
    </row>
    <row r="14" ht="14.25" customHeight="1">
      <c r="B14" t="str">
        <f t="array" ref="B14">INDEX(Tasks,9,2)</f>
        <v>Sprint Task 4. Create draft interim report</v>
      </c>
      <c r="C14" s="13"/>
      <c r="D14" s="13"/>
      <c r="E14" s="27">
        <v>0.0625</v>
      </c>
      <c r="F14" s="12">
        <v>0.20833333333333334</v>
      </c>
      <c r="G14" s="12">
        <v>0.16666666666666666</v>
      </c>
      <c r="H14" s="13"/>
      <c r="I14" s="13"/>
      <c r="J14" s="13"/>
      <c r="K14" s="13"/>
      <c r="L14" s="13"/>
    </row>
    <row r="15" ht="14.25" customHeight="1">
      <c r="B15" t="str">
        <f t="array" ref="B15">INDEX(Tasks,10,2)</f>
        <v>Sprint Task 5. Create visualization 2</v>
      </c>
      <c r="C15" s="13"/>
      <c r="D15" s="13"/>
      <c r="E15" s="13"/>
      <c r="F15" s="13"/>
      <c r="G15" s="13"/>
      <c r="H15" s="13"/>
      <c r="I15" s="13"/>
      <c r="J15" s="13"/>
      <c r="K15" s="13"/>
      <c r="L15" s="13"/>
    </row>
    <row r="16" ht="14.25" customHeight="1">
      <c r="B16" t="str">
        <f t="array" ref="B16">INDEX(Tasks,11,2)</f>
        <v>Sprint Task 6. Add interactions</v>
      </c>
      <c r="C16" s="13"/>
      <c r="D16" s="13"/>
      <c r="E16" s="13"/>
      <c r="F16" s="13"/>
      <c r="G16" s="13"/>
      <c r="H16" s="13"/>
      <c r="I16" s="13"/>
      <c r="J16" s="13"/>
      <c r="K16" s="13"/>
      <c r="L16" s="13"/>
    </row>
    <row r="17" ht="14.25" customHeight="1">
      <c r="B17" t="str">
        <f t="array" ref="B17">INDEX(Tasks,12,2)</f>
        <v>Sprint Task 7. Create interim video</v>
      </c>
      <c r="C17" s="13"/>
      <c r="D17" s="13"/>
      <c r="E17" s="13"/>
      <c r="F17" s="13"/>
      <c r="G17" s="12">
        <v>0.14583333333333334</v>
      </c>
      <c r="I17" s="13"/>
      <c r="J17" s="13"/>
      <c r="K17" s="13"/>
      <c r="L17" s="13"/>
    </row>
    <row r="18" ht="14.25" customHeight="1">
      <c r="B18" t="str">
        <f t="array" ref="B18">INDEX(Tasks,13,2)</f>
        <v>Sprint Task 8. Scalability</v>
      </c>
      <c r="C18" s="13"/>
      <c r="D18" s="13"/>
      <c r="E18" s="13"/>
      <c r="F18" s="13"/>
      <c r="G18" s="13"/>
      <c r="H18" s="12">
        <v>0.22916666666666666</v>
      </c>
      <c r="I18" s="13"/>
      <c r="J18" s="13"/>
      <c r="K18" s="13"/>
      <c r="L18" s="13"/>
    </row>
    <row r="19" ht="14.25" customHeight="1">
      <c r="B19" t="str">
        <f t="array" ref="B19">INDEX(Tasks,14,2)</f>
        <v>Sprint Task 9. Ordering in visualizations</v>
      </c>
      <c r="C19" s="13"/>
      <c r="D19" s="13"/>
      <c r="E19" s="13"/>
      <c r="F19" s="13"/>
      <c r="G19" s="13"/>
      <c r="H19" s="26"/>
      <c r="I19" s="13"/>
      <c r="J19" s="13"/>
      <c r="K19" s="13"/>
      <c r="L19" s="13"/>
    </row>
    <row r="20" ht="14.25" customHeight="1">
      <c r="B20" t="str">
        <f t="array" ref="B20">INDEX(Tasks,15,2)</f>
        <v>Sprint Task 10. Upgrade interactions</v>
      </c>
      <c r="C20" s="13"/>
      <c r="D20" s="13"/>
      <c r="E20" s="13"/>
      <c r="F20" s="13"/>
      <c r="G20" s="13"/>
      <c r="H20" s="13"/>
      <c r="I20" s="13"/>
      <c r="J20" s="13"/>
      <c r="K20" s="13"/>
      <c r="L20" s="13"/>
    </row>
    <row r="21" ht="14.25" customHeight="1">
      <c r="B21" t="str">
        <f t="array" ref="B21">INDEX(Tasks,16,2)</f>
        <v>Sprint Task 11. Upgrade the website</v>
      </c>
      <c r="C21" s="13"/>
      <c r="D21" s="13"/>
      <c r="E21" s="13"/>
      <c r="F21" s="13"/>
      <c r="G21" s="13"/>
      <c r="H21" s="13"/>
      <c r="I21" s="26">
        <v>0.8333333333333334</v>
      </c>
      <c r="J21" s="12">
        <v>0.7708333333333334</v>
      </c>
      <c r="K21" s="12">
        <v>0.10416666666666667</v>
      </c>
      <c r="L21" s="13"/>
    </row>
    <row r="22" ht="14.25" customHeight="1">
      <c r="B22" t="str">
        <f t="array" ref="B22">INDEX(Tasks,17,2)</f>
        <v>Sprint Task 12. Create Final Report</v>
      </c>
      <c r="C22" s="13"/>
      <c r="D22" s="13"/>
      <c r="E22" s="13"/>
      <c r="F22" s="13"/>
      <c r="G22" s="13"/>
      <c r="H22" s="13"/>
      <c r="I22" s="13"/>
      <c r="J22" s="12">
        <v>0.16666666666666666</v>
      </c>
      <c r="K22" s="12">
        <v>0.3541666666666667</v>
      </c>
      <c r="L22" s="13"/>
    </row>
    <row r="23" ht="14.25" customHeight="1">
      <c r="B23" t="str">
        <f t="array" ref="B23">INDEX(Tasks,18,2)</f>
        <v>Sprint Task 13. Create Final Video</v>
      </c>
      <c r="C23" s="13"/>
      <c r="D23" s="13"/>
      <c r="E23" s="13"/>
      <c r="F23" s="13"/>
      <c r="G23" s="13"/>
      <c r="H23" s="13"/>
      <c r="I23" s="13"/>
      <c r="J23" s="26">
        <v>0.20833333333333334</v>
      </c>
      <c r="L23" s="13"/>
    </row>
    <row r="24" ht="14.25" customHeight="1">
      <c r="B24" t="str">
        <f t="array" ref="B24">INDEX(Tasks,19,2)</f>
        <v>Sprint Task x.x</v>
      </c>
      <c r="C24" s="13"/>
      <c r="D24" s="13"/>
      <c r="E24" s="13"/>
      <c r="F24" s="13"/>
      <c r="G24" s="13"/>
      <c r="H24" s="13"/>
      <c r="I24" s="13"/>
      <c r="J24" s="13"/>
      <c r="K24" s="13"/>
      <c r="L24" s="13"/>
    </row>
    <row r="25" ht="14.25" customHeight="1">
      <c r="B25" t="str">
        <f t="array" ref="B25">INDEX(Tasks,20,2)</f>
        <v>Sprint Task x.x</v>
      </c>
      <c r="C25" s="21"/>
      <c r="D25" s="21"/>
      <c r="E25" s="21"/>
      <c r="F25" s="21"/>
      <c r="G25" s="21"/>
      <c r="H25" s="21"/>
      <c r="I25" s="21"/>
      <c r="J25" s="21"/>
      <c r="K25" s="21"/>
      <c r="L25" s="21"/>
    </row>
    <row r="26" ht="14.25" customHeight="1">
      <c r="C26" s="22">
        <f t="shared" ref="C26:L26" si="1">SUM(C6:C25)</f>
        <v>0.2708333333</v>
      </c>
      <c r="D26" s="22">
        <f t="shared" si="1"/>
        <v>0.375</v>
      </c>
      <c r="E26" s="22">
        <f t="shared" si="1"/>
        <v>0.5416666667</v>
      </c>
      <c r="F26" s="22">
        <f t="shared" si="1"/>
        <v>0.4375</v>
      </c>
      <c r="G26" s="22">
        <f t="shared" si="1"/>
        <v>0.375</v>
      </c>
      <c r="H26" s="22">
        <f t="shared" si="1"/>
        <v>0.3333333333</v>
      </c>
      <c r="I26" s="22">
        <f t="shared" si="1"/>
        <v>0.9375</v>
      </c>
      <c r="J26" s="22">
        <f t="shared" si="1"/>
        <v>1.166666667</v>
      </c>
      <c r="K26" s="22">
        <f t="shared" si="1"/>
        <v>0.6041666667</v>
      </c>
      <c r="L26" s="22">
        <f t="shared" si="1"/>
        <v>0</v>
      </c>
    </row>
    <row r="27" ht="14.25" customHeight="1">
      <c r="C27" s="19"/>
      <c r="D27" s="19"/>
      <c r="E27" s="19"/>
      <c r="F27" s="19"/>
      <c r="G27" s="19"/>
      <c r="H27" s="19"/>
      <c r="I27" s="19"/>
      <c r="J27" s="19"/>
      <c r="K27" s="19"/>
      <c r="L27" s="19"/>
    </row>
    <row r="28" ht="14.25" customHeight="1">
      <c r="B28" t="s">
        <v>63</v>
      </c>
      <c r="C28" s="19">
        <f>SUM(C26)</f>
        <v>0.2708333333</v>
      </c>
      <c r="D28" s="19">
        <f t="shared" ref="D28:L28" si="2">SUM($C$26:D26)</f>
        <v>0.6458333333</v>
      </c>
      <c r="E28" s="19">
        <f t="shared" si="2"/>
        <v>1.1875</v>
      </c>
      <c r="F28" s="19">
        <f t="shared" si="2"/>
        <v>1.625</v>
      </c>
      <c r="G28" s="19">
        <f t="shared" si="2"/>
        <v>2</v>
      </c>
      <c r="H28" s="19">
        <f t="shared" si="2"/>
        <v>2.333333333</v>
      </c>
      <c r="I28" s="19">
        <f t="shared" si="2"/>
        <v>3.270833333</v>
      </c>
      <c r="J28" s="19">
        <f t="shared" si="2"/>
        <v>4.4375</v>
      </c>
      <c r="K28" s="19">
        <f t="shared" si="2"/>
        <v>5.041666667</v>
      </c>
      <c r="L28" s="19">
        <f t="shared" si="2"/>
        <v>5.041666667</v>
      </c>
    </row>
    <row r="29" ht="14.25" customHeight="1">
      <c r="B29" t="s">
        <v>64</v>
      </c>
      <c r="C29" s="19">
        <f>Parameters!$G$10-C28</f>
        <v>5.5625</v>
      </c>
      <c r="D29" s="19">
        <f>Parameters!$G$10-D28</f>
        <v>5.1875</v>
      </c>
      <c r="E29" s="19">
        <f>Parameters!$G$10-E28</f>
        <v>4.645833333</v>
      </c>
      <c r="F29" s="19">
        <f>Parameters!$G$10-F28</f>
        <v>4.208333333</v>
      </c>
      <c r="G29" s="19">
        <f>Parameters!$G$10-G28</f>
        <v>3.833333333</v>
      </c>
      <c r="H29" s="19">
        <f>Parameters!$G$10-H28</f>
        <v>3.5</v>
      </c>
      <c r="I29" s="19">
        <f>Parameters!$G$10-I28</f>
        <v>2.5625</v>
      </c>
      <c r="J29" s="19">
        <f>Parameters!$G$10-J28</f>
        <v>1.395833333</v>
      </c>
      <c r="K29" s="19">
        <f>Parameters!$G$10-K28</f>
        <v>0.7916666667</v>
      </c>
      <c r="L29" s="19">
        <f>Parameters!$G$10-L28</f>
        <v>0.7916666667</v>
      </c>
    </row>
    <row r="30" ht="14.25" customHeight="1"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</row>
    <row r="31" ht="14.25" customHeight="1"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86"/>
    <col customWidth="1" min="2" max="2" width="34.57"/>
    <col customWidth="1" min="3" max="26" width="8.71"/>
  </cols>
  <sheetData>
    <row r="1" ht="14.25" customHeight="1"/>
    <row r="2" ht="14.25" customHeight="1">
      <c r="A2" s="1" t="s">
        <v>0</v>
      </c>
      <c r="B2" t="str">
        <f t="array" ref="B2">INDEX(Participants,5,2)</f>
        <v>Sasha</v>
      </c>
    </row>
    <row r="3" ht="14.25" customHeight="1"/>
    <row r="4" ht="14.25" customHeight="1">
      <c r="B4" s="4" t="s">
        <v>8</v>
      </c>
      <c r="C4" s="7">
        <v>1.0</v>
      </c>
      <c r="D4" s="7">
        <v>2.0</v>
      </c>
      <c r="E4" s="7">
        <v>3.0</v>
      </c>
      <c r="F4" s="7">
        <v>4.0</v>
      </c>
      <c r="G4" s="7">
        <v>5.0</v>
      </c>
      <c r="H4" s="7">
        <v>6.0</v>
      </c>
      <c r="I4" s="7">
        <v>7.0</v>
      </c>
      <c r="J4" s="7">
        <v>8.0</v>
      </c>
      <c r="K4" s="7">
        <v>9.0</v>
      </c>
      <c r="L4" s="7">
        <v>10.0</v>
      </c>
    </row>
    <row r="5" ht="14.25" customHeight="1">
      <c r="B5" s="2" t="s">
        <v>11</v>
      </c>
      <c r="C5" s="9"/>
      <c r="D5" s="9"/>
      <c r="E5" s="9"/>
      <c r="F5" s="9"/>
      <c r="G5" s="9"/>
      <c r="H5" s="9"/>
      <c r="I5" s="9"/>
      <c r="J5" s="9"/>
      <c r="K5" s="9"/>
      <c r="L5" s="9"/>
    </row>
    <row r="6" ht="14.25" customHeight="1">
      <c r="B6" t="str">
        <f t="array" ref="B6">INDEX(Tasks,1,2)</f>
        <v>Sprint Planning</v>
      </c>
      <c r="C6" s="12">
        <v>0.041666666666666664</v>
      </c>
      <c r="D6" s="12">
        <v>0.08333333333333333</v>
      </c>
      <c r="E6" s="13"/>
      <c r="F6" s="12">
        <v>0.020833333333333332</v>
      </c>
      <c r="G6" s="13"/>
      <c r="H6" s="12">
        <v>0.0625</v>
      </c>
      <c r="I6" s="13"/>
      <c r="J6" s="13"/>
      <c r="K6" s="13"/>
      <c r="L6" s="13"/>
    </row>
    <row r="7" ht="14.25" customHeight="1">
      <c r="B7" t="str">
        <f t="array" ref="B7">INDEX(Tasks,2,2)</f>
        <v>Daily Scrum</v>
      </c>
      <c r="C7" s="13"/>
      <c r="D7" s="12">
        <v>0.041666666666666664</v>
      </c>
      <c r="E7" s="12">
        <v>0.041666666666666664</v>
      </c>
      <c r="F7" s="12">
        <v>0.041666666666666664</v>
      </c>
      <c r="G7" s="12">
        <v>0.041666666666666664</v>
      </c>
      <c r="H7" s="12">
        <v>0.041666666666666664</v>
      </c>
      <c r="I7" s="12">
        <v>0.041666666666666664</v>
      </c>
      <c r="J7" s="12">
        <v>0.041666666666666664</v>
      </c>
      <c r="K7" s="12">
        <v>0.041666666666666664</v>
      </c>
      <c r="L7" s="13"/>
    </row>
    <row r="8" ht="14.25" customHeight="1">
      <c r="B8" t="str">
        <f t="array" ref="B8">INDEX(Tasks,3,2)</f>
        <v>Sprint Review</v>
      </c>
      <c r="C8" s="13"/>
      <c r="D8" s="12">
        <v>0.020833333333333332</v>
      </c>
      <c r="E8" s="13"/>
      <c r="F8" s="12">
        <v>0.041666666666666664</v>
      </c>
      <c r="G8" s="12">
        <v>0.020833333333333332</v>
      </c>
      <c r="H8" s="13"/>
      <c r="I8" s="12">
        <v>0.041666666666666664</v>
      </c>
      <c r="J8" s="13"/>
      <c r="K8" s="12">
        <v>0.08333333333333333</v>
      </c>
      <c r="L8" s="13"/>
    </row>
    <row r="9" ht="14.25" customHeight="1">
      <c r="B9" t="str">
        <f t="array" ref="B9">INDEX(Tasks,4,2)</f>
        <v>Lectures/Plenary meetings</v>
      </c>
      <c r="C9" s="12">
        <v>0.041666666666666664</v>
      </c>
      <c r="D9" s="13"/>
      <c r="E9" s="13"/>
      <c r="F9" s="13"/>
      <c r="G9" s="13"/>
      <c r="H9" s="13"/>
      <c r="I9" s="13"/>
      <c r="J9" s="13"/>
      <c r="K9" s="13"/>
      <c r="L9" s="13"/>
    </row>
    <row r="10" ht="14.25" customHeight="1">
      <c r="B10" t="str">
        <f t="array" ref="B10">INDEX(Tasks,5,2)</f>
        <v>Sprint Task 0. Administration</v>
      </c>
      <c r="C10" s="12">
        <v>0.08333333333333333</v>
      </c>
      <c r="D10" s="12">
        <v>0.041666666666666664</v>
      </c>
      <c r="E10" s="12">
        <v>0.041666666666666664</v>
      </c>
      <c r="F10" s="12">
        <v>0.041666666666666664</v>
      </c>
      <c r="G10" s="12">
        <v>0.041666666666666664</v>
      </c>
      <c r="H10" s="13"/>
      <c r="I10" s="12">
        <v>0.041666666666666664</v>
      </c>
      <c r="J10" s="13"/>
      <c r="K10" s="12">
        <v>0.041666666666666664</v>
      </c>
      <c r="L10" s="13"/>
    </row>
    <row r="11" ht="14.25" customHeight="1">
      <c r="B11" t="str">
        <f t="array" ref="B11">INDEX(Tasks,6,2)</f>
        <v>Sprint Task 1. Create website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</row>
    <row r="12" ht="14.25" customHeight="1">
      <c r="B12" t="str">
        <f t="array" ref="B12">INDEX(Tasks,7,2)</f>
        <v>Sprint Task 2. Create visualization 1</v>
      </c>
      <c r="C12" s="13"/>
      <c r="D12" s="13"/>
      <c r="E12" s="13"/>
      <c r="F12" s="13"/>
      <c r="G12" s="13"/>
      <c r="H12" s="13"/>
      <c r="I12" s="13"/>
      <c r="J12" s="13"/>
      <c r="K12" s="13"/>
      <c r="L12" s="13"/>
    </row>
    <row r="13" ht="14.25" customHeight="1">
      <c r="B13" t="str">
        <f t="array" ref="B13">INDEX(Tasks,8,2)</f>
        <v>Sprint Task 3. Allow for data upload</v>
      </c>
      <c r="C13" s="12">
        <v>0.125</v>
      </c>
      <c r="D13" s="12">
        <v>0.3333333333333333</v>
      </c>
      <c r="E13" s="12">
        <v>0.625</v>
      </c>
      <c r="F13" s="13"/>
      <c r="G13" s="13"/>
      <c r="H13" s="13"/>
      <c r="I13" s="13"/>
      <c r="J13" s="13"/>
      <c r="K13" s="13"/>
      <c r="L13" s="13"/>
    </row>
    <row r="14" ht="14.25" customHeight="1">
      <c r="B14" t="str">
        <f t="array" ref="B14">INDEX(Tasks,9,2)</f>
        <v>Sprint Task 4. Create draft interim report</v>
      </c>
      <c r="C14" s="13"/>
      <c r="D14" s="13"/>
      <c r="E14" s="12">
        <v>0.041666666666666664</v>
      </c>
      <c r="F14" s="12">
        <v>0.25</v>
      </c>
      <c r="G14" s="12">
        <v>0.20833333333333334</v>
      </c>
      <c r="H14" s="13"/>
      <c r="I14" s="13"/>
      <c r="J14" s="13"/>
      <c r="K14" s="13"/>
      <c r="L14" s="13"/>
    </row>
    <row r="15" ht="14.25" customHeight="1">
      <c r="B15" t="str">
        <f t="array" ref="B15">INDEX(Tasks,10,2)</f>
        <v>Sprint Task 5. Create visualization 2</v>
      </c>
      <c r="C15" s="13"/>
      <c r="D15" s="13"/>
      <c r="E15" s="13"/>
      <c r="F15" s="13"/>
      <c r="G15" s="13"/>
      <c r="H15" s="13"/>
      <c r="I15" s="13"/>
      <c r="J15" s="13"/>
      <c r="K15" s="13"/>
      <c r="L15" s="13"/>
    </row>
    <row r="16" ht="14.25" customHeight="1">
      <c r="B16" t="str">
        <f t="array" ref="B16">INDEX(Tasks,11,2)</f>
        <v>Sprint Task 6. Add interactions</v>
      </c>
      <c r="C16" s="13"/>
      <c r="D16" s="13"/>
      <c r="E16" s="13"/>
      <c r="F16" s="13"/>
      <c r="G16" s="13"/>
      <c r="H16" s="13"/>
      <c r="I16" s="13"/>
      <c r="J16" s="13"/>
      <c r="K16" s="13"/>
      <c r="L16" s="13"/>
    </row>
    <row r="17" ht="14.25" customHeight="1">
      <c r="B17" t="str">
        <f t="array" ref="B17">INDEX(Tasks,12,2)</f>
        <v>Sprint Task 7. Create interim video</v>
      </c>
      <c r="C17" s="13"/>
      <c r="D17" s="13"/>
      <c r="E17" s="13"/>
      <c r="F17" s="13"/>
      <c r="G17" s="12">
        <v>0.14583333333333334</v>
      </c>
      <c r="H17" s="13"/>
      <c r="I17" s="13"/>
      <c r="J17" s="13"/>
      <c r="K17" s="13"/>
      <c r="L17" s="13"/>
    </row>
    <row r="18" ht="14.25" customHeight="1">
      <c r="B18" t="str">
        <f t="array" ref="B18">INDEX(Tasks,13,2)</f>
        <v>Sprint Task 8. Scalability</v>
      </c>
      <c r="C18" s="13"/>
      <c r="D18" s="13"/>
      <c r="E18" s="13"/>
      <c r="F18" s="13"/>
      <c r="G18" s="13"/>
      <c r="H18" s="13"/>
      <c r="I18" s="13"/>
      <c r="J18" s="13"/>
      <c r="K18" s="13"/>
      <c r="L18" s="13"/>
    </row>
    <row r="19" ht="14.25" customHeight="1">
      <c r="B19" t="str">
        <f t="array" ref="B19">INDEX(Tasks,14,2)</f>
        <v>Sprint Task 9. Ordering in visualizations</v>
      </c>
      <c r="C19" s="13"/>
      <c r="D19" s="13"/>
      <c r="E19" s="13"/>
      <c r="F19" s="13"/>
      <c r="G19" s="13"/>
      <c r="H19" s="12">
        <v>0.16666666666666666</v>
      </c>
      <c r="I19" s="12">
        <v>0.8333333333333334</v>
      </c>
      <c r="J19" s="12">
        <v>0.4166666666666667</v>
      </c>
      <c r="K19" s="12">
        <v>0.08333333333333333</v>
      </c>
      <c r="L19" s="13"/>
    </row>
    <row r="20" ht="14.25" customHeight="1">
      <c r="B20" t="str">
        <f t="array" ref="B20">INDEX(Tasks,15,2)</f>
        <v>Sprint Task 10. Upgrade interactions</v>
      </c>
      <c r="C20" s="13"/>
      <c r="D20" s="13"/>
      <c r="E20" s="13"/>
      <c r="F20" s="13"/>
      <c r="G20" s="13"/>
      <c r="H20" s="13"/>
      <c r="I20" s="13"/>
      <c r="J20" s="13"/>
      <c r="K20" s="13"/>
      <c r="L20" s="13"/>
    </row>
    <row r="21" ht="14.25" customHeight="1">
      <c r="B21" t="str">
        <f t="array" ref="B21">INDEX(Tasks,16,2)</f>
        <v>Sprint Task 11. Upgrade the website</v>
      </c>
      <c r="C21" s="13"/>
      <c r="D21" s="13"/>
      <c r="E21" s="13"/>
      <c r="F21" s="13"/>
      <c r="G21" s="13"/>
      <c r="H21" s="13"/>
      <c r="I21" s="13"/>
      <c r="J21" s="13"/>
      <c r="K21" s="13"/>
      <c r="L21" s="13"/>
    </row>
    <row r="22" ht="14.25" customHeight="1">
      <c r="B22" t="str">
        <f t="array" ref="B22">INDEX(Tasks,17,2)</f>
        <v>Sprint Task 12. Create Final Report</v>
      </c>
      <c r="C22" s="13"/>
      <c r="D22" s="13"/>
      <c r="E22" s="13"/>
      <c r="F22" s="13"/>
      <c r="G22" s="13"/>
      <c r="H22" s="13"/>
      <c r="I22" s="13"/>
      <c r="J22" s="13"/>
      <c r="K22" s="12">
        <v>0.625</v>
      </c>
      <c r="L22" s="13"/>
    </row>
    <row r="23" ht="14.25" customHeight="1">
      <c r="B23" t="str">
        <f t="array" ref="B23">INDEX(Tasks,18,2)</f>
        <v>Sprint Task 13. Create Final Video</v>
      </c>
      <c r="C23" s="13"/>
      <c r="D23" s="13"/>
      <c r="E23" s="13"/>
      <c r="F23" s="13"/>
      <c r="G23" s="13"/>
      <c r="H23" s="13"/>
      <c r="I23" s="13"/>
      <c r="J23" s="12">
        <v>0.08333333333333333</v>
      </c>
      <c r="K23" s="13"/>
      <c r="L23" s="13"/>
    </row>
    <row r="24" ht="14.25" customHeight="1">
      <c r="B24" t="str">
        <f t="array" ref="B24">INDEX(Tasks,19,2)</f>
        <v>Sprint Task x.x</v>
      </c>
      <c r="C24" s="13"/>
      <c r="D24" s="13"/>
      <c r="E24" s="13"/>
      <c r="F24" s="13"/>
      <c r="G24" s="13"/>
      <c r="H24" s="13"/>
      <c r="I24" s="13"/>
      <c r="J24" s="13"/>
      <c r="K24" s="13"/>
      <c r="L24" s="13"/>
    </row>
    <row r="25" ht="14.25" customHeight="1">
      <c r="B25" t="str">
        <f t="array" ref="B25">INDEX(Tasks,20,2)</f>
        <v>Sprint Task x.x</v>
      </c>
      <c r="C25" s="21"/>
      <c r="D25" s="21"/>
      <c r="E25" s="21"/>
      <c r="F25" s="21"/>
      <c r="G25" s="21"/>
      <c r="H25" s="21"/>
      <c r="I25" s="21"/>
      <c r="J25" s="21"/>
      <c r="K25" s="21"/>
      <c r="L25" s="21"/>
    </row>
    <row r="26" ht="14.25" customHeight="1">
      <c r="C26" s="28">
        <f t="shared" ref="C26:L26" si="1">SUM(C6:C25)</f>
        <v>0.2916666667</v>
      </c>
      <c r="D26" s="29">
        <f t="shared" si="1"/>
        <v>0.5208333333</v>
      </c>
      <c r="E26" s="29">
        <f t="shared" si="1"/>
        <v>0.75</v>
      </c>
      <c r="F26" s="28">
        <f t="shared" si="1"/>
        <v>0.3958333333</v>
      </c>
      <c r="G26" s="28">
        <f t="shared" si="1"/>
        <v>0.4583333333</v>
      </c>
      <c r="H26" s="28">
        <f t="shared" si="1"/>
        <v>0.2708333333</v>
      </c>
      <c r="I26" s="28">
        <f t="shared" si="1"/>
        <v>0.9583333333</v>
      </c>
      <c r="J26" s="28">
        <f t="shared" si="1"/>
        <v>0.5416666667</v>
      </c>
      <c r="K26" s="28">
        <f t="shared" si="1"/>
        <v>0.875</v>
      </c>
      <c r="L26" s="28">
        <f t="shared" si="1"/>
        <v>0</v>
      </c>
    </row>
    <row r="27" ht="14.25" customHeight="1">
      <c r="C27" s="19"/>
      <c r="D27" s="19"/>
      <c r="E27" s="19"/>
      <c r="F27" s="19"/>
      <c r="G27" s="19"/>
      <c r="H27" s="19"/>
      <c r="I27" s="19"/>
      <c r="J27" s="19"/>
      <c r="K27" s="19"/>
      <c r="L27" s="19"/>
    </row>
    <row r="28" ht="14.25" customHeight="1">
      <c r="B28" t="s">
        <v>63</v>
      </c>
      <c r="C28" s="19">
        <f>SUM(C26)</f>
        <v>0.2916666667</v>
      </c>
      <c r="D28" s="19">
        <f t="shared" ref="D28:L28" si="2">SUM($C$26:D26)</f>
        <v>0.8125</v>
      </c>
      <c r="E28" s="19">
        <f t="shared" si="2"/>
        <v>1.5625</v>
      </c>
      <c r="F28" s="19">
        <f t="shared" si="2"/>
        <v>1.958333333</v>
      </c>
      <c r="G28" s="19">
        <f t="shared" si="2"/>
        <v>2.416666667</v>
      </c>
      <c r="H28" s="19">
        <f t="shared" si="2"/>
        <v>2.6875</v>
      </c>
      <c r="I28" s="19">
        <f t="shared" si="2"/>
        <v>3.645833333</v>
      </c>
      <c r="J28" s="19">
        <f t="shared" si="2"/>
        <v>4.1875</v>
      </c>
      <c r="K28" s="19">
        <f t="shared" si="2"/>
        <v>5.0625</v>
      </c>
      <c r="L28" s="19">
        <f t="shared" si="2"/>
        <v>5.0625</v>
      </c>
    </row>
    <row r="29" ht="14.25" customHeight="1">
      <c r="B29" t="s">
        <v>64</v>
      </c>
      <c r="C29" s="19">
        <f>Parameters!$G$9-C28</f>
        <v>5.541666667</v>
      </c>
      <c r="D29" s="19">
        <f>Parameters!$G$9-D28</f>
        <v>5.020833333</v>
      </c>
      <c r="E29" s="19">
        <f>Parameters!$G$9-E28</f>
        <v>4.270833333</v>
      </c>
      <c r="F29" s="19">
        <f>Parameters!$G$9-F28</f>
        <v>3.875</v>
      </c>
      <c r="G29" s="19">
        <f>Parameters!$G$9-G28</f>
        <v>3.416666667</v>
      </c>
      <c r="H29" s="19">
        <f>Parameters!$G$9-H28</f>
        <v>3.145833333</v>
      </c>
      <c r="I29" s="19">
        <f>Parameters!$G$9-I28</f>
        <v>2.1875</v>
      </c>
      <c r="J29" s="19">
        <f>Parameters!$G$9-J28</f>
        <v>1.645833333</v>
      </c>
      <c r="K29" s="19">
        <f>Parameters!$G$9-K28</f>
        <v>0.7708333333</v>
      </c>
      <c r="L29" s="19">
        <f>Parameters!$G$9-L28</f>
        <v>0.7708333333</v>
      </c>
    </row>
    <row r="30" ht="14.25" customHeight="1"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</row>
    <row r="31" ht="14.25" customHeight="1"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4.57"/>
    <col customWidth="1" min="3" max="13" width="8.71"/>
    <col customWidth="1" min="14" max="14" width="10.29"/>
    <col customWidth="1" min="15" max="26" width="8.71"/>
  </cols>
  <sheetData>
    <row r="1" ht="14.25" customHeight="1"/>
    <row r="2" ht="14.25" customHeight="1">
      <c r="B2" s="2" t="s">
        <v>65</v>
      </c>
    </row>
    <row r="3" ht="14.25" customHeight="1"/>
    <row r="4" ht="14.25" customHeight="1"/>
    <row r="5" ht="14.25" customHeight="1">
      <c r="C5" s="7" t="s">
        <v>66</v>
      </c>
      <c r="D5" s="7" t="s">
        <v>67</v>
      </c>
      <c r="E5" s="7" t="s">
        <v>68</v>
      </c>
      <c r="F5" s="7" t="s">
        <v>69</v>
      </c>
      <c r="G5" s="7" t="s">
        <v>70</v>
      </c>
      <c r="H5" s="7" t="s">
        <v>71</v>
      </c>
      <c r="I5" s="7" t="s">
        <v>72</v>
      </c>
      <c r="J5" s="7" t="s">
        <v>73</v>
      </c>
      <c r="K5" s="7" t="s">
        <v>74</v>
      </c>
      <c r="L5" s="7" t="s">
        <v>75</v>
      </c>
      <c r="M5" s="30" t="s">
        <v>76</v>
      </c>
      <c r="N5" s="30" t="s">
        <v>77</v>
      </c>
    </row>
    <row r="6" ht="14.25" customHeight="1">
      <c r="B6" t="str">
        <f t="array" ref="B6">INDEX(Tasks,1,2)</f>
        <v>Sprint Planning</v>
      </c>
      <c r="C6" s="31">
        <f>SUM(Jeroen!C6,David!C6,Georgi!C6,Julek!C6,Sasha!C6,Theo!C6)</f>
        <v>0.2083333333</v>
      </c>
      <c r="D6" s="31">
        <f>SUM(Jeroen!D6,David!D6,Georgi!D6,Julek!D6,Sasha!D6,Theo!D6)</f>
        <v>0.4583333333</v>
      </c>
      <c r="E6" s="31">
        <f>SUM(Jeroen!E6,David!E6,Georgi!E6,Julek!E6,Sasha!E6,Theo!E6)</f>
        <v>0.0625</v>
      </c>
      <c r="F6" s="31">
        <f>SUM(Jeroen!F6,David!F6,Georgi!F6,Julek!F6,Sasha!F6,Theo!F6)</f>
        <v>0.1458333333</v>
      </c>
      <c r="G6" s="31">
        <f>SUM(Jeroen!G6,David!G6,Georgi!G6,Julek!G6,Sasha!G6,Theo!G6)</f>
        <v>0</v>
      </c>
      <c r="H6" s="31">
        <f>SUM(Jeroen!H6,David!H6,Georgi!H6,Julek!H6,Sasha!H6,Theo!H6)</f>
        <v>0.25</v>
      </c>
      <c r="I6" s="31">
        <f>SUM(Jeroen!I6,David!I6,Georgi!I6,Julek!I6,Sasha!I6,Theo!I6)</f>
        <v>0.0625</v>
      </c>
      <c r="J6" s="31">
        <f>SUM(Jeroen!J6,David!I6,Georgi!J6,Julek!J6,Sasha!J6,Theo!J6)</f>
        <v>0.125</v>
      </c>
      <c r="K6" s="31">
        <f>SUM(Jeroen!K6,David!K6,Georgi!K6,Julek!K6,Sasha!K6,Theo!K6)</f>
        <v>0.04166666667</v>
      </c>
      <c r="L6" s="31">
        <f>SUM(Jeroen!L6,David!L6,Georgi!L6,Julek!L6,Sasha!L6,Theo!L6)</f>
        <v>0</v>
      </c>
      <c r="M6" s="32">
        <f t="shared" ref="M6:M25" si="1">SUM(C6:L6)</f>
        <v>1.354166667</v>
      </c>
      <c r="N6" s="33">
        <f t="array" ref="N6">IF(INDEX(Tasks,1,3)&lt;&gt;"",100*M6/INDEX(Tasks,1,3),"")</f>
        <v>3250</v>
      </c>
    </row>
    <row r="7" ht="14.25" customHeight="1">
      <c r="B7" t="str">
        <f t="array" ref="B7">INDEX(Tasks,2,2)</f>
        <v>Daily Scrum</v>
      </c>
      <c r="C7" s="34">
        <f>SUM(Jeroen!C7,David!C7,Georgi!C7,Julek!C7,Sasha!C7,Theo!C7)</f>
        <v>0.2291666667</v>
      </c>
      <c r="D7" s="34">
        <f>SUM(Jeroen!D7,David!D7,Georgi!D7,Julek!D7,Sasha!D7,Theo!D7)</f>
        <v>0.3958333333</v>
      </c>
      <c r="E7" s="34">
        <f>SUM(Jeroen!E7,David!E7,Georgi!E7,Julek!E7,Sasha!E7,Theo!E7)</f>
        <v>0.3958333333</v>
      </c>
      <c r="F7" s="34">
        <f>SUM(Jeroen!F7,David!F7,Georgi!F7,Julek!F7,Sasha!F7,Theo!F7)</f>
        <v>0.375</v>
      </c>
      <c r="G7" s="34">
        <f>SUM(Jeroen!G7,David!G7,Georgi!G7,Julek!G7,Sasha!G7,Theo!G7)</f>
        <v>0.3333333333</v>
      </c>
      <c r="H7" s="34">
        <f>SUM(Jeroen!H7,David!H7,Georgi!H7,Julek!H7,Sasha!H7,Theo!H7)</f>
        <v>0.375</v>
      </c>
      <c r="I7" s="34">
        <f>SUM(Jeroen!I7,David!I7,Georgi!I7,Julek!I7,Sasha!I7,Theo!I7)</f>
        <v>0.2916666667</v>
      </c>
      <c r="J7" s="34">
        <f>SUM(Jeroen!J7,David!J7,Georgi!J7,Julek!J7,Sasha!J7,Theo!J7)</f>
        <v>0.2916666667</v>
      </c>
      <c r="K7" s="34">
        <f>SUM(Jeroen!K7,David!K7,Georgi!K7,Julek!K7,Sasha!K7,Theo!K7)</f>
        <v>0.7708333333</v>
      </c>
      <c r="L7" s="34">
        <f>SUM(Jeroen!L7,David!L7,Georgi!L7,Julek!L7,Sasha!L7,Theo!L7)</f>
        <v>0</v>
      </c>
      <c r="M7" s="35">
        <f t="shared" si="1"/>
        <v>3.458333333</v>
      </c>
      <c r="N7" s="33">
        <f t="array" ref="N7">IF(INDEX(Tasks,2,3)&lt;&gt;"",100*M7/INDEX(Tasks,2,3),"")</f>
        <v>8300</v>
      </c>
    </row>
    <row r="8" ht="14.25" customHeight="1">
      <c r="B8" t="str">
        <f t="array" ref="B8">INDEX(Tasks,3,2)</f>
        <v>Sprint Review</v>
      </c>
      <c r="C8" s="34">
        <f>SUM(Jeroen!C8,David!C8,Georgi!C8,Julek!C8,Sasha!C8,Theo!C8)</f>
        <v>0</v>
      </c>
      <c r="D8" s="34">
        <f>SUM(Jeroen!D8,David!D8,Georgi!D8,Julek!D8,Sasha!D8,Theo!D8)</f>
        <v>0.1041666667</v>
      </c>
      <c r="E8" s="34">
        <f>SUM(Jeroen!E8,David!E8,Georgi!E8,Julek!E8,Sasha!E8,Theo!E8)</f>
        <v>0.08333333333</v>
      </c>
      <c r="F8" s="34">
        <f>SUM(Jeroen!F8,David!F8,Georgi!F8,Julek!F8,Sasha!F8,Theo!F8)</f>
        <v>0.1666666667</v>
      </c>
      <c r="G8" s="34">
        <f>SUM(Jeroen!G8,David!G8,Georgi!G8,Julek!G8,Sasha!G8,Theo!G8)</f>
        <v>0.08333333333</v>
      </c>
      <c r="H8" s="34">
        <f>SUM(Jeroen!H8,David!H8,Georgi!H8,Julek!H8,Sasha!H8,Theo!H8)</f>
        <v>0.04166666667</v>
      </c>
      <c r="I8" s="34">
        <f>SUM(Jeroen!I8,David!I8,Georgi!I8,Julek!I8,Sasha!I8,Theo!I8)</f>
        <v>0.1875</v>
      </c>
      <c r="J8" s="34">
        <f>SUM(Jeroen!J8,David!J8,Georgi!J8,Julek!J8,Sasha!J8,Theo!J8)</f>
        <v>0.0625</v>
      </c>
      <c r="K8" s="34">
        <f>SUM(Jeroen!K8,David!K8,Georgi!K8,Julek!K8,Sasha!K8,Theo!K8)</f>
        <v>0.3333333333</v>
      </c>
      <c r="L8" s="34">
        <f>SUM(Jeroen!L8,David!L8,Georgi!L8,Julek!L8,Sasha!L8,Theo!L8)</f>
        <v>0</v>
      </c>
      <c r="M8" s="35">
        <f t="shared" si="1"/>
        <v>1.0625</v>
      </c>
      <c r="N8" s="33">
        <f t="array" ref="N8">IF(INDEX(Tasks,3,3)&lt;&gt;"",100*M8/INDEX(Tasks,3,3),"")</f>
        <v>2550</v>
      </c>
    </row>
    <row r="9" ht="14.25" customHeight="1">
      <c r="B9" t="str">
        <f t="array" ref="B9">INDEX(Tasks,4,2)</f>
        <v>Lectures/Plenary meetings</v>
      </c>
      <c r="C9" s="34">
        <f>SUM(Jeroen!C9,David!C9,Georgi!C9,Julek!C9,Sasha!C9,Theo!C9)</f>
        <v>0.2916666667</v>
      </c>
      <c r="D9" s="34">
        <f>SUM(Jeroen!D9,David!D9,Georgi!D9,Julek!D9,Sasha!D9,Theo!D9)</f>
        <v>0</v>
      </c>
      <c r="E9" s="34">
        <f>SUM(Jeroen!E9,David!E9,Georgi!E9,Julek!E9,Sasha!E9,Theo!E9)</f>
        <v>0</v>
      </c>
      <c r="F9" s="34">
        <f>SUM(Jeroen!F9,David!F9,Georgi!F9,Julek!F9,Sasha!F9,Theo!F9)</f>
        <v>0.125</v>
      </c>
      <c r="G9" s="34">
        <f>SUM(Jeroen!G9,David!G9,Georgi!G9,Julek!G9,Sasha!G9,Theo!G9)</f>
        <v>0</v>
      </c>
      <c r="H9" s="34">
        <f>SUM(Jeroen!H9,David!H9,Georgi!H9,Julek!H9,Sasha!H9,Theo!H9)</f>
        <v>0</v>
      </c>
      <c r="I9" s="34">
        <f>SUM(Jeroen!I9,David!I9,Georgi!I9,Julek!I9,Sasha!I9,Theo!I9)</f>
        <v>0</v>
      </c>
      <c r="J9" s="34">
        <f>SUM(Jeroen!J9,David!J9,Georgi!J9,Julek!J9,Sasha!J9,Theo!J9)</f>
        <v>0</v>
      </c>
      <c r="K9" s="34">
        <f>SUM(Jeroen!K9,David!K10,Georgi!K9,Julek!K9,Sasha!K9,Theo!K9)</f>
        <v>0.02083333333</v>
      </c>
      <c r="L9" s="34">
        <f>SUM(Jeroen!L9,David!L9,Georgi!L9,Julek!L9,Sasha!L9,Theo!L9)</f>
        <v>0</v>
      </c>
      <c r="M9" s="35">
        <f t="shared" si="1"/>
        <v>0.4375</v>
      </c>
      <c r="N9" s="33">
        <f t="array" ref="N9">IF(INDEX(Tasks,4,3)&lt;&gt;"",100*M9/INDEX(Tasks,4,3),"")</f>
        <v>1050</v>
      </c>
    </row>
    <row r="10" ht="14.25" customHeight="1">
      <c r="B10" t="str">
        <f t="array" ref="B10">INDEX(Tasks,5,2)</f>
        <v>Sprint Task 0. Administration</v>
      </c>
      <c r="C10" s="34">
        <f>SUM(Jeroen!C10,David!C10,Georgi!C10,Julek!C10,Sasha!C10,Theo!C10)</f>
        <v>0.3958333333</v>
      </c>
      <c r="D10" s="34">
        <f>SUM(Jeroen!D10,David!D10,Georgi!D10,Julek!D10,Sasha!D10,Theo!D10)</f>
        <v>0.5208333333</v>
      </c>
      <c r="E10" s="34">
        <f>SUM(Jeroen!E10,David!E10,Georgi!E10,Julek!E10,Sasha!E10,Theo!E10)</f>
        <v>0.4166666667</v>
      </c>
      <c r="F10" s="34">
        <f>SUM(Jeroen!F10,David!F10,Georgi!F10,Julek!F10,Sasha!F10,Theo!F10)</f>
        <v>0.1666666667</v>
      </c>
      <c r="G10" s="34">
        <f>SUM(Jeroen!G10,David!G10,Georgi!G10,Julek!G10,Sasha!G10,Theo!G17)</f>
        <v>0.2708333333</v>
      </c>
      <c r="H10" s="34">
        <f>SUM(Jeroen!H10,David!H10,Georgi!H10,Julek!H10,Sasha!H10,Theo!H10)</f>
        <v>0.02083333333</v>
      </c>
      <c r="I10" s="34">
        <f>SUM(Jeroen!I10,David!I10,Georgi!I10,Julek!I10,Sasha!I10,Theo!I10)</f>
        <v>0.04166666667</v>
      </c>
      <c r="J10" s="34">
        <f>SUM(Jeroen!J10,David!J10,Georgi!J10,Julek!J10,Sasha!J10,Theo!J10)</f>
        <v>0.04166666667</v>
      </c>
      <c r="K10" s="34">
        <f>SUM(Jeroen!K10,David!K10,Georgi!K10,Julek!K10,Sasha!K10,Theo!K10)</f>
        <v>0.1458333333</v>
      </c>
      <c r="L10" s="34">
        <f>SUM(Jeroen!L10,David!L10,Georgi!L10,Julek!L10,Sasha!L10,Theo!L10)</f>
        <v>0</v>
      </c>
      <c r="M10" s="35">
        <f t="shared" si="1"/>
        <v>2.020833333</v>
      </c>
      <c r="N10" s="33">
        <f t="array" ref="N10">IF(INDEX(Tasks,5,3)&lt;&gt;"",100*M10/INDEX(Tasks,5,3),"")</f>
        <v>4850</v>
      </c>
    </row>
    <row r="11" ht="14.25" customHeight="1">
      <c r="B11" t="str">
        <f t="array" ref="B11">INDEX(Tasks,6,2)</f>
        <v>Sprint Task 1. Create website</v>
      </c>
      <c r="C11" s="34">
        <f>SUM(Jeroen!C11,David!C11,Georgi!C11,Julek!C11,Sasha!C11,Theo!C11)</f>
        <v>0.25</v>
      </c>
      <c r="D11" s="34">
        <f>SUM(Jeroen!D11,David!D11,Georgi!D11,Julek!D11,Sasha!D11,Theo!D11)</f>
        <v>0.4583333333</v>
      </c>
      <c r="E11" s="34">
        <f>SUM(Jeroen!E11,David!E11,Georgi!E11,Julek!E11,Sasha!E11,Theo!E11)</f>
        <v>0.125</v>
      </c>
      <c r="F11" s="34">
        <f>SUM(Jeroen!F11,David!F11,Georgi!F11,Julek!F11,Sasha!F11,Theo!F11)</f>
        <v>0.1041666667</v>
      </c>
      <c r="G11" s="34">
        <f>SUM(Jeroen!G11,David!G11,Georgi!G11,Julek!G11,Sasha!G11,Theo!G11)</f>
        <v>0.08333333333</v>
      </c>
      <c r="H11" s="34">
        <f>SUM(Jeroen!H11,David!H11,Georgi!H11,Julek!H11,Sasha!H11,Theo!H11)</f>
        <v>0</v>
      </c>
      <c r="I11" s="34">
        <f>SUM(Jeroen!I11,David!I11,Georgi!I11,Julek!I11,Sasha!I11,Theo!I11)</f>
        <v>0</v>
      </c>
      <c r="J11" s="34">
        <f>SUM(Jeroen!J11,David!J11,Georgi!J11,Julek!J11,Sasha!J11,Theo!J11)</f>
        <v>0</v>
      </c>
      <c r="K11" s="34">
        <f>SUM(Jeroen!K11,David!K11,Georgi!K11,Julek!K11,Sasha!K11,Theo!K11)</f>
        <v>0.02083333333</v>
      </c>
      <c r="L11" s="34">
        <f>SUM(Jeroen!L11,David!L11,Georgi!L11,Julek!L11,Sasha!L11,Theo!L11)</f>
        <v>0</v>
      </c>
      <c r="M11" s="35">
        <f t="shared" si="1"/>
        <v>1.041666667</v>
      </c>
      <c r="N11" s="33">
        <f t="array" ref="N11">IF(INDEX(Tasks,6,3)&lt;&gt;"",100*M11/INDEX(Tasks,6,3),"")</f>
        <v>2500</v>
      </c>
    </row>
    <row r="12" ht="14.25" customHeight="1">
      <c r="B12" t="str">
        <f t="array" ref="B12">INDEX(Tasks,7,2)</f>
        <v>Sprint Task 2. Create visualization 1</v>
      </c>
      <c r="C12" s="34">
        <f>SUM(Jeroen!C12,David!C12,Georgi!C12,Julek!C12,Sasha!C12,Theo!C12)</f>
        <v>0.1666666667</v>
      </c>
      <c r="D12" s="34">
        <f>SUM(Jeroen!D12,David!D12,Georgi!D12,Julek!D12,Sasha!D12,Theo!D12)</f>
        <v>0.2916666667</v>
      </c>
      <c r="E12" s="34">
        <f>SUM(Jeroen!E12,David!E12,Georgi!E12,Julek!E12,Sasha!E12,Theo!E12)</f>
        <v>0.2083333333</v>
      </c>
      <c r="F12" s="34">
        <f>SUM(Jeroen!F12,David!F12,Georgi!F12,Julek!F12,Sasha!F12,Theo!F12)</f>
        <v>0.04166666667</v>
      </c>
      <c r="G12" s="34">
        <f>SUM(Jeroen!G12,David!G12,Georgi!G12,Julek!G12,Sasha!G12,Theo!G12)</f>
        <v>0</v>
      </c>
      <c r="H12" s="34">
        <f>SUM(Jeroen!H12,David!H12,Georgi!H12,Julek!H12,Sasha!H12,Theo!H12)</f>
        <v>0</v>
      </c>
      <c r="I12" s="34">
        <f>SUM(Jeroen!I12,David!I12,Georgi!I12,Julek!I12,Sasha!I12,Theo!I12)</f>
        <v>0</v>
      </c>
      <c r="J12" s="34">
        <f>SUM(Jeroen!J12,David!J12,Georgi!J12,Julek!J12,Sasha!J12,Theo!J12)</f>
        <v>0</v>
      </c>
      <c r="K12" s="34">
        <f>SUM(Jeroen!K12,David!K12,Georgi!K12,Julek!K12,Sasha!K12,Theo!K12)</f>
        <v>0</v>
      </c>
      <c r="L12" s="34">
        <f>SUM(Jeroen!L12,David!L12,Georgi!L12,Julek!L12,Sasha!L12,Theo!L12)</f>
        <v>0</v>
      </c>
      <c r="M12" s="35">
        <f t="shared" si="1"/>
        <v>0.7083333333</v>
      </c>
      <c r="N12" s="33">
        <f t="array" ref="N12">IF(INDEX(Tasks,7,3)&lt;&gt;"",100*M12/INDEX(Tasks,7,3),"")</f>
        <v>1700</v>
      </c>
    </row>
    <row r="13" ht="14.25" customHeight="1">
      <c r="B13" t="str">
        <f t="array" ref="B13">INDEX(Tasks,8,2)</f>
        <v>Sprint Task 3. Allow for data upload</v>
      </c>
      <c r="C13" s="34">
        <f>SUM(Jeroen!C13,David!C13,Georgi!C13,Julek!C13,Sasha!C13,Theo!C13)</f>
        <v>0.2083333333</v>
      </c>
      <c r="D13" s="34">
        <f>SUM(Jeroen!D13,David!D13,Georgi!D13,Julek!D13,Sasha!D13,Theo!D13)</f>
        <v>0.375</v>
      </c>
      <c r="E13" s="34">
        <f>SUM(Jeroen!E13,David!E13,Georgi!E13,Julek!E13,Sasha!E13,Theo!E13)</f>
        <v>1.166666667</v>
      </c>
      <c r="F13" s="34">
        <f>SUM(Jeroen!F13,David!F13,Georgi!F13,Julek!F13,Sasha!F13,Theo!F13)</f>
        <v>0.08333333333</v>
      </c>
      <c r="G13" s="34">
        <f>SUM(Jeroen!G13,David!G13,Georgi!G13,Julek!G13,Sasha!G13,Theo!G13)</f>
        <v>0</v>
      </c>
      <c r="H13" s="34">
        <f>SUM(Jeroen!H13,David!H13,Georgi!H13,Julek!H13,Sasha!H13,Theo!H13)</f>
        <v>0</v>
      </c>
      <c r="I13" s="34">
        <f>SUM(Jeroen!I13,David!I13,Georgi!I13,Julek!I13,Sasha!I13,Theo!I13)</f>
        <v>0</v>
      </c>
      <c r="J13" s="34">
        <f>SUM(Jeroen!J13,David!J13,Georgi!J13,Julek!J13,Sasha!J13,Theo!J13)</f>
        <v>0</v>
      </c>
      <c r="K13" s="34">
        <f>SUM(Jeroen!K13,David!K13,Georgi!K13,Julek!K13,Sasha!K13,Theo!K13)</f>
        <v>0</v>
      </c>
      <c r="L13" s="34">
        <f>SUM(Jeroen!L13,David!L13,Georgi!L13,Julek!L13,Sasha!L13,Theo!L13)</f>
        <v>0</v>
      </c>
      <c r="M13" s="35">
        <f t="shared" si="1"/>
        <v>1.833333333</v>
      </c>
      <c r="N13" s="33">
        <f t="array" ref="N13">IF(INDEX(Tasks,8,3)&lt;&gt;"",100*M13/INDEX(Tasks,8,3),"")</f>
        <v>4400</v>
      </c>
    </row>
    <row r="14" ht="14.25" customHeight="1">
      <c r="B14" t="str">
        <f t="array" ref="B14">INDEX(Tasks,9,2)</f>
        <v>Sprint Task 4. Create draft interim report</v>
      </c>
      <c r="C14" s="34">
        <f>SUM(Jeroen!C14,David!C14,Georgi!C14,Julek!C14,Sasha!C14,Theo!C14)</f>
        <v>0</v>
      </c>
      <c r="D14" s="34">
        <f>SUM(Jeroen!D14,David!D14,Georgi!D14,Julek!D14,Sasha!D14,Theo!D14)</f>
        <v>0.04166666667</v>
      </c>
      <c r="E14" s="34">
        <f>SUM(Jeroen!E14,David!E14,Georgi!E14,Julek!E14,Sasha!E14,Theo!E13)</f>
        <v>0.7291666667</v>
      </c>
      <c r="F14" s="34">
        <f>SUM(Jeroen!F14,David!F14,Georgi!F14,Julek!F14,Sasha!F14,Theo!F14)</f>
        <v>0.8125</v>
      </c>
      <c r="G14" s="34">
        <f>SUM(Jeroen!G14,David!G14,Georgi!G14,Julek!G14,Sasha!G14,Theo!G14)</f>
        <v>0.875</v>
      </c>
      <c r="H14" s="34">
        <f>SUM(Jeroen!H14,David!H14,Georgi!H14,Julek!H14,Sasha!H14,Theo!H14)</f>
        <v>0</v>
      </c>
      <c r="I14" s="34">
        <f>SUM(Jeroen!I14,David!I14,Georgi!I14,Julek!I14,Sasha!I14,Theo!I14)</f>
        <v>0</v>
      </c>
      <c r="J14" s="34">
        <f>SUM(Jeroen!J14,David!J14,Georgi!J14,Julek!J14,Sasha!J14,Theo!J14)</f>
        <v>0</v>
      </c>
      <c r="K14" s="34">
        <f>SUM(Jeroen!K14,David!K14,Georgi!K14,Julek!K14,Sasha!K14,Theo!K14)</f>
        <v>0</v>
      </c>
      <c r="L14" s="34">
        <f>SUM(Jeroen!L14,David!L14,Georgi!L14,Julek!L14,Sasha!L14,Theo!L14)</f>
        <v>0</v>
      </c>
      <c r="M14" s="35">
        <f t="shared" si="1"/>
        <v>2.458333333</v>
      </c>
      <c r="N14" s="33">
        <f t="array" ref="N14">IF(INDEX(Tasks,9,3)&lt;&gt;"",100*M14/INDEX(Tasks,9,3),"")</f>
        <v>5900</v>
      </c>
    </row>
    <row r="15" ht="14.25" customHeight="1">
      <c r="B15" t="str">
        <f t="array" ref="B15">INDEX(Tasks,10,2)</f>
        <v>Sprint Task 5. Create visualization 2</v>
      </c>
      <c r="C15" s="34">
        <f>SUM(Jeroen!C15,David!C15,Georgi!C15,Julek!C15,Sasha!C15,Theo!C15)</f>
        <v>0</v>
      </c>
      <c r="D15" s="34">
        <f>SUM(Jeroen!D15,David!D15,Georgi!D15,Julek!D15,Sasha!D15,Theo!D15)</f>
        <v>0</v>
      </c>
      <c r="E15" s="34">
        <f>SUM(Jeroen!E15,David!E15,Georgi!E15,Julek!E15,Sasha!E15,Theo!E15)</f>
        <v>0.125</v>
      </c>
      <c r="F15" s="34">
        <f>SUM(Jeroen!F15,David!F15,Georgi!F15,Julek!F15,Sasha!F15,Theo!F15)</f>
        <v>0</v>
      </c>
      <c r="G15" s="34">
        <f>SUM(Jeroen!G15,David!G15,Georgi!G15,Julek!G15,Sasha!G15,Theo!G15)</f>
        <v>0</v>
      </c>
      <c r="H15" s="34">
        <f>SUM(Jeroen!H15,David!H15,Georgi!H15,Julek!H15,Sasha!H15,Theo!H15)</f>
        <v>0</v>
      </c>
      <c r="I15" s="34">
        <f>SUM(Jeroen!I15,David!I15,Georgi!I15,Julek!I15,Sasha!I15,Theo!I15)</f>
        <v>0</v>
      </c>
      <c r="J15" s="34">
        <f>SUM(Jeroen!J15,David!J15,Georgi!J15,Julek!J15,Sasha!J15,Theo!J15)</f>
        <v>0</v>
      </c>
      <c r="K15" s="34">
        <f>SUM(Jeroen!K15,David!K15,Georgi!K15,Julek!K15,Sasha!K15,Theo!K15)</f>
        <v>0</v>
      </c>
      <c r="L15" s="34">
        <f>SUM(Jeroen!L15,David!L15,Georgi!L15,Julek!L15,Sasha!L15,Theo!L15)</f>
        <v>0</v>
      </c>
      <c r="M15" s="35">
        <f t="shared" si="1"/>
        <v>0.125</v>
      </c>
      <c r="N15" s="33">
        <f t="array" ref="N15">IF(INDEX(Tasks,10,3)&lt;&gt;"",100*M15/INDEX(Tasks,10,3),"")</f>
        <v>300</v>
      </c>
    </row>
    <row r="16" ht="14.25" customHeight="1">
      <c r="B16" t="str">
        <f t="array" ref="B16">INDEX(Tasks,11,2)</f>
        <v>Sprint Task 6. Add interactions</v>
      </c>
      <c r="C16" s="34">
        <f>SUM(Jeroen!C16,David!C16,Georgi!C16,Julek!C16,Sasha!C16,Theo!C16)</f>
        <v>0</v>
      </c>
      <c r="D16" s="34">
        <f>SUM(Jeroen!D16,David!D16,Georgi!D16,Julek!D16,Sasha!D16,Theo!D16)</f>
        <v>0.04166666667</v>
      </c>
      <c r="E16" s="34">
        <f>SUM(Jeroen!E16,David!E16,Georgi!E16,Julek!E16,Sasha!E16,Theo!E16)</f>
        <v>0.3958333333</v>
      </c>
      <c r="F16" s="34">
        <f>SUM(Jeroen!F16,David!F16,Georgi!F16,Julek!F16,Sasha!F16,Theo!F16)</f>
        <v>0</v>
      </c>
      <c r="G16" s="34">
        <f>SUM(Jeroen!G16,David!G16,Georgi!G16,Julek!G16,Sasha!G16,Theo!G16)</f>
        <v>0</v>
      </c>
      <c r="H16" s="34">
        <f>SUM(Jeroen!H16,David!H16,Georgi!H16,Julek!H16,Sasha!H16,Theo!H16)</f>
        <v>0</v>
      </c>
      <c r="I16" s="34">
        <f>SUM(Jeroen!I16,David!I16,Georgi!I16,Julek!I16,Sasha!I16,Theo!I16)</f>
        <v>0</v>
      </c>
      <c r="J16" s="34">
        <f>SUM(Jeroen!J16,David!J16,Georgi!J16,Julek!J16,Sasha!J16,Theo!J16)</f>
        <v>0</v>
      </c>
      <c r="K16" s="34">
        <f>SUM(Jeroen!K16,David!K16,Georgi!K16,Julek!K16,Sasha!K16,Theo!K16)</f>
        <v>0</v>
      </c>
      <c r="L16" s="34">
        <f>SUM(Jeroen!L16,David!L16,Georgi!L16,Julek!L16,Sasha!L16,Theo!L16)</f>
        <v>0</v>
      </c>
      <c r="M16" s="35">
        <f t="shared" si="1"/>
        <v>0.4375</v>
      </c>
      <c r="N16" s="33">
        <f t="array" ref="N16">IF(INDEX(Tasks,11,3)&lt;&gt;"",100*M16/INDEX(Tasks,11,3),"")</f>
        <v>1050</v>
      </c>
    </row>
    <row r="17" ht="14.25" customHeight="1">
      <c r="B17" t="str">
        <f t="array" ref="B17">INDEX(Tasks,12,2)</f>
        <v>Sprint Task 7. Create interim video</v>
      </c>
      <c r="C17" s="34">
        <f>SUM(Jeroen!C17,David!C17,Georgi!C17,Julek!C17,Sasha!C17,Theo!C17)</f>
        <v>0</v>
      </c>
      <c r="D17" s="34">
        <f>SUM(Jeroen!D17,David!D17,Georgi!D17,Julek!D17,Sasha!D17,Theo!D17)</f>
        <v>0</v>
      </c>
      <c r="E17" s="34">
        <f>SUM(Jeroen!E17,David!E17,Georgi!E17,Julek!E17,Sasha!E17,Theo!E17)</f>
        <v>0</v>
      </c>
      <c r="F17" s="34">
        <f>SUM(Jeroen!F17,David!F17,Georgi!F17,Julek!F17,Sasha!F17,Theo!F17)</f>
        <v>0</v>
      </c>
      <c r="G17" s="34">
        <f>SUM(Jeroen!G17,David!G17,Georgi!G17,Julek!G17,Sasha!G17,Theo!G17)</f>
        <v>0.875</v>
      </c>
      <c r="H17" s="34">
        <f>SUM(Jeroen!H17,David!H17,Georgi!H17,Julek!H17,Sasha!H17)</f>
        <v>0</v>
      </c>
      <c r="I17" s="34">
        <f>SUM(Jeroen!I17,David!I17,Georgi!I17,Julek!I17,Sasha!I17,Theo!I17)</f>
        <v>0</v>
      </c>
      <c r="J17" s="34">
        <f>SUM(Jeroen!J17,David!J17,Georgi!J17,Julek!J17,Sasha!J17,Theo!J17)</f>
        <v>0.125</v>
      </c>
      <c r="K17" s="34">
        <f>SUM(Jeroen!K17,David!K17,Georgi!K17,Julek!K17,Sasha!K17,Theo!K17)</f>
        <v>0</v>
      </c>
      <c r="L17" s="34">
        <f>SUM(Jeroen!L17,David!L17,Georgi!L17,Julek!L17,Sasha!L17,Theo!L17)</f>
        <v>0</v>
      </c>
      <c r="M17" s="35">
        <f t="shared" si="1"/>
        <v>1</v>
      </c>
      <c r="N17" s="33" t="str">
        <f t="array" ref="N17">IF(INDEX(Tasks,12,3)&lt;&gt;"",100*M17/INDEX(Tasks,12,3),"")</f>
        <v/>
      </c>
    </row>
    <row r="18" ht="14.25" customHeight="1">
      <c r="B18" t="str">
        <f t="array" ref="B18">INDEX(Tasks,13,2)</f>
        <v>Sprint Task 8. Scalability</v>
      </c>
      <c r="C18" s="34">
        <f>SUM(Jeroen!C18,David!C18,Georgi!C18,Julek!C18,Sasha!C18,Theo!C18)</f>
        <v>0</v>
      </c>
      <c r="D18" s="34">
        <f>SUM(Jeroen!D18,David!D18,Georgi!D18,Julek!D18,Sasha!D18,Theo!D18)</f>
        <v>0</v>
      </c>
      <c r="E18" s="34">
        <f>SUM(Jeroen!E18,David!E18,Georgi!E18,Julek!E18,Sasha!E18,Theo!E18)</f>
        <v>0</v>
      </c>
      <c r="F18" s="34">
        <f>SUM(Jeroen!F18,David!F18,Georgi!F18,Julek!F18,Sasha!F18,Theo!F18)</f>
        <v>0</v>
      </c>
      <c r="G18" s="34">
        <f>SUM(Jeroen!G18,David!G18,Georgi!G18,Julek!G18,Sasha!G18,Theo!G18)</f>
        <v>0</v>
      </c>
      <c r="H18" s="34">
        <f>SUM(Jeroen!H18,David!H18,Georgi!H18,Julek!H18,Sasha!H18,Theo!H18)</f>
        <v>0.2291666667</v>
      </c>
      <c r="I18" s="34">
        <f>SUM(Jeroen!I18,David!I18,Georgi!I18,Julek!I18,Sasha!I18,Theo!I18)</f>
        <v>0.04166666667</v>
      </c>
      <c r="J18" s="34">
        <f>SUM(Jeroen!J18,David!J18,Georgi!J18,Julek!J18,Sasha!J18,Theo!J18)</f>
        <v>0</v>
      </c>
      <c r="K18" s="34">
        <f>SUM(Jeroen!K18,David!J17,Georgi!K18,Julek!K18,Sasha!K18,Theo!K18)</f>
        <v>0.125</v>
      </c>
      <c r="L18" s="34">
        <f>SUM(Jeroen!L18,David!L18,Georgi!L18,Julek!L18,Sasha!L18,Theo!L18)</f>
        <v>0</v>
      </c>
      <c r="M18" s="35">
        <f t="shared" si="1"/>
        <v>0.3958333333</v>
      </c>
      <c r="N18" s="33" t="str">
        <f t="array" ref="N18">IF(INDEX(Tasks,13,3)&lt;&gt;"",100*M18/INDEX(Tasks,13,3),"")</f>
        <v/>
      </c>
    </row>
    <row r="19" ht="14.25" customHeight="1">
      <c r="B19" t="str">
        <f t="array" ref="B19">INDEX(Tasks,14,2)</f>
        <v>Sprint Task 9. Ordering in visualizations</v>
      </c>
      <c r="C19" s="34">
        <f>SUM(Jeroen!C19,David!C19,Georgi!C19,Julek!C19,Sasha!C19,Theo!C19)</f>
        <v>0</v>
      </c>
      <c r="D19" s="34">
        <f>SUM(Jeroen!D19,David!D19,Georgi!D19,Julek!D19,Sasha!D19,Theo!D19)</f>
        <v>0</v>
      </c>
      <c r="E19" s="34">
        <f>SUM(Jeroen!E19,David!E19,Georgi!E19,Julek!E19,Sasha!E19,Theo!E19)</f>
        <v>0</v>
      </c>
      <c r="F19" s="34">
        <f>SUM(Jeroen!F19,David!F19,Georgi!F19,Julek!F19,Sasha!F19,Theo!F19)</f>
        <v>0</v>
      </c>
      <c r="G19" s="34">
        <f>SUM(Jeroen!G19,David!G19,Georgi!G19,Julek!G19,Sasha!G19,Theo!G19)</f>
        <v>0</v>
      </c>
      <c r="H19" s="34">
        <f>SUM(Jeroen!H19,David!H19,Georgi!H19,Julek!H19,Sasha!H19,Theo!H19)</f>
        <v>0.5416666667</v>
      </c>
      <c r="I19" s="34">
        <f>SUM(Jeroen!I19,David!I19,Georgi!I19,Julek!I19,Sasha!I19,Theo!I19)</f>
        <v>1.625</v>
      </c>
      <c r="J19" s="34">
        <f>SUM(Jeroen!J19,David!J19,Georgi!J19,Julek!J19,Sasha!J19,Theo!J19)</f>
        <v>0.5833333333</v>
      </c>
      <c r="K19" s="34">
        <f>SUM(Jeroen!K19,David!K19,Georgi!K19,Julek!K19,Sasha!K19,Theo!K19)</f>
        <v>0.4583333333</v>
      </c>
      <c r="L19" s="34">
        <f>SUM(Jeroen!L19,David!L19,Georgi!L19,Julek!L19,Sasha!L19,Theo!L19)</f>
        <v>0</v>
      </c>
      <c r="M19" s="35">
        <f t="shared" si="1"/>
        <v>3.208333333</v>
      </c>
      <c r="N19" s="33" t="str">
        <f t="array" ref="N19">IF(INDEX(Tasks,14,3)&lt;&gt;"",100*M19/INDEX(Tasks,14,3),"")</f>
        <v/>
      </c>
    </row>
    <row r="20" ht="14.25" customHeight="1">
      <c r="B20" t="str">
        <f t="array" ref="B20">INDEX(Tasks,15,2)</f>
        <v>Sprint Task 10. Upgrade interactions</v>
      </c>
      <c r="C20" s="34">
        <f>SUM(Jeroen!C20,David!C20,Georgi!C20,Julek!C20,Sasha!C20,Theo!C20)</f>
        <v>0</v>
      </c>
      <c r="D20" s="34">
        <f>SUM(Jeroen!D20,David!D20,Georgi!D20,Julek!D20,Sasha!D20,Theo!D20)</f>
        <v>0</v>
      </c>
      <c r="E20" s="34">
        <f>SUM(Jeroen!E20,David!E20,Georgi!E20,Julek!E20,Sasha!E20,Theo!E20)</f>
        <v>0</v>
      </c>
      <c r="F20" s="34">
        <f>SUM(Jeroen!F20,David!F20,Georgi!F20,Julek!F20,Sasha!F20,Theo!F20)</f>
        <v>0</v>
      </c>
      <c r="G20" s="34">
        <f>SUM(Jeroen!G20,David!G20,Georgi!G20,Julek!G20,Sasha!G20,Theo!G20)</f>
        <v>0</v>
      </c>
      <c r="H20" s="34">
        <f>SUM(Jeroen!H20,David!H20,Georgi!H20,Julek!H20,Sasha!H20,Theo!H20)</f>
        <v>0.2916666667</v>
      </c>
      <c r="I20" s="34">
        <f>SUM(Jeroen!I20,David!I20,Georgi!I20,Julek!I20,Sasha!I20,Theo!I20)</f>
        <v>0.25</v>
      </c>
      <c r="J20" s="34">
        <f>SUM(Jeroen!J20,David!J20,Georgi!J20,Julek!J20,Sasha!J20,Theo!J20)</f>
        <v>0.2916666667</v>
      </c>
      <c r="K20" s="34">
        <f>SUM(Jeroen!K20,David!K20,Georgi!K20,Julek!K20,Sasha!K20,Theo!K20)</f>
        <v>0.4166666667</v>
      </c>
      <c r="L20" s="34">
        <f>SUM(Jeroen!L20,David!L20,Georgi!L20,Julek!L20,Sasha!L20,Theo!L20)</f>
        <v>0</v>
      </c>
      <c r="M20" s="35">
        <f t="shared" si="1"/>
        <v>1.25</v>
      </c>
      <c r="N20" s="33" t="str">
        <f t="array" ref="N20">IF(INDEX(Tasks,15,3)&lt;&gt;"",100*M20/INDEX(Tasks,15,3),"")</f>
        <v/>
      </c>
    </row>
    <row r="21" ht="14.25" customHeight="1">
      <c r="B21" t="str">
        <f t="array" ref="B21">INDEX(Tasks,16,2)</f>
        <v>Sprint Task 11. Upgrade the website</v>
      </c>
      <c r="C21" s="34">
        <f>SUM(Jeroen!C21,David!C21,Georgi!C21,Julek!C21,Sasha!C21,Theo!C21)</f>
        <v>0</v>
      </c>
      <c r="D21" s="34">
        <f>SUM(Jeroen!D21,David!D21,Georgi!D21,Julek!D21,Sasha!D21,Theo!D21)</f>
        <v>0</v>
      </c>
      <c r="E21" s="34">
        <f>SUM(Jeroen!E21,David!E21,Georgi!E21,Julek!E21,Sasha!E21,Theo!E21)</f>
        <v>0</v>
      </c>
      <c r="F21" s="34">
        <f>SUM(Jeroen!F21,David!F21,Georgi!F21,Julek!F21,Sasha!F21,Theo!F21)</f>
        <v>0</v>
      </c>
      <c r="G21" s="34">
        <f>SUM(Jeroen!G21,David!G21,Georgi!G21,Julek!G21,Sasha!G21,Theo!G21)</f>
        <v>0</v>
      </c>
      <c r="H21" s="34">
        <f>SUM(Jeroen!H21,David!H21,Georgi!H21,Julek!H21,Sasha!H21,Theo!H21)</f>
        <v>0.2916666667</v>
      </c>
      <c r="I21" s="34">
        <f>SUM(Jeroen!I21,David!I21,Georgi!I21,Julek!I21,Sasha!I21,Theo!I21)</f>
        <v>1.125</v>
      </c>
      <c r="J21" s="34">
        <f>SUM(Jeroen!J21,David!J21,Georgi!J21,Julek!J21,Sasha!J21,Theo!J21)</f>
        <v>0.9791666667</v>
      </c>
      <c r="K21" s="34">
        <f>SUM(Jeroen!K21,David!K21,Georgi!K21,Julek!K21,Sasha!K21,Theo!K21)</f>
        <v>0.6875</v>
      </c>
      <c r="L21" s="34">
        <f>SUM(Jeroen!L21,David!L21,Georgi!L21,Julek!L21,Sasha!L21,Theo!L21)</f>
        <v>0</v>
      </c>
      <c r="M21" s="35">
        <f t="shared" si="1"/>
        <v>3.083333333</v>
      </c>
      <c r="N21" s="33" t="str">
        <f t="array" ref="N21">IF(INDEX(Tasks,16,3)&lt;&gt;"",100*M21/INDEX(Tasks,16,3),"")</f>
        <v/>
      </c>
    </row>
    <row r="22" ht="14.25" customHeight="1">
      <c r="B22" t="str">
        <f t="array" ref="B22">INDEX(Tasks,17,2)</f>
        <v>Sprint Task 12. Create Final Report</v>
      </c>
      <c r="C22" s="34">
        <f>SUM(Jeroen!C22,David!C22,Georgi!C22,Julek!C22,Sasha!C22,Theo!C22)</f>
        <v>0</v>
      </c>
      <c r="D22" s="34">
        <f>SUM(Jeroen!D22,David!D22,Georgi!D22,Julek!D22,Sasha!D22,Theo!D22)</f>
        <v>0</v>
      </c>
      <c r="E22" s="34">
        <f>SUM(Jeroen!E22,David!E22,Georgi!E22,Julek!E22,Sasha!E22,Theo!E22)</f>
        <v>0</v>
      </c>
      <c r="F22" s="34">
        <f>SUM(Jeroen!F22,David!F22,Georgi!F22,Julek!F22,Sasha!F22,Theo!F22)</f>
        <v>0</v>
      </c>
      <c r="G22" s="34">
        <f>SUM(Jeroen!G22,David!G22,Georgi!G22,Julek!G22,Sasha!G22,Theo!G22)</f>
        <v>0</v>
      </c>
      <c r="H22" s="34">
        <f>SUM(Jeroen!H22,David!H22,Georgi!H22,Julek!H22,Sasha!H22,Theo!H22)</f>
        <v>0</v>
      </c>
      <c r="I22" s="34">
        <f>SUM(Jeroen!I22,David!I22,Georgi!I22,Julek!I22,Sasha!I22,Theo!I22)</f>
        <v>0.1666666667</v>
      </c>
      <c r="J22" s="34">
        <f>SUM(Jeroen!J22,David!J22,Georgi!J22,Julek!J22,Sasha!J22,Theo!J22)</f>
        <v>0.7291666667</v>
      </c>
      <c r="K22" s="34">
        <f>SUM(Jeroen!K22,David!K22,Georgi!K22,Julek!K22,Sasha!K22)</f>
        <v>2</v>
      </c>
      <c r="L22" s="34">
        <f>SUM(Jeroen!L22,David!L22,Georgi!L22,Julek!L22,Sasha!L22,Theo!L22)</f>
        <v>0</v>
      </c>
      <c r="M22" s="35">
        <f t="shared" si="1"/>
        <v>2.895833333</v>
      </c>
      <c r="N22" s="33" t="str">
        <f t="array" ref="N22">IF(INDEX(Tasks,17,3)&lt;&gt;"",100*M22/INDEX(Tasks,17,3),"")</f>
        <v/>
      </c>
    </row>
    <row r="23" ht="14.25" customHeight="1">
      <c r="B23" t="str">
        <f t="array" ref="B23">INDEX(Tasks,18,2)</f>
        <v>Sprint Task 13. Create Final Video</v>
      </c>
      <c r="C23" s="34">
        <f>SUM(Jeroen!C23,David!C23,Georgi!C23,Julek!C23,Sasha!C23,Theo!C23)</f>
        <v>0</v>
      </c>
      <c r="D23" s="34">
        <f>SUM(Jeroen!D23,David!D23,Georgi!D23,Julek!D23,Sasha!D23,Theo!D23)</f>
        <v>0</v>
      </c>
      <c r="E23" s="34">
        <f>SUM(Jeroen!E23,David!E23,Georgi!E23,Julek!E23,Sasha!E23,Theo!E23)</f>
        <v>0</v>
      </c>
      <c r="F23" s="34">
        <f>SUM(Jeroen!F23,David!F23,Georgi!F23,Julek!F23,Sasha!F23,Theo!F23)</f>
        <v>0</v>
      </c>
      <c r="G23" s="34">
        <f>SUM(Jeroen!G23,David!G23,Georgi!G23,Julek!G23,Sasha!G23,Theo!G23)</f>
        <v>0</v>
      </c>
      <c r="H23" s="34">
        <f>SUM(Jeroen!H23,David!H23,Georgi!H23,Julek!H23,Sasha!H23,Theo!H23)</f>
        <v>0</v>
      </c>
      <c r="I23" s="34">
        <f>SUM(Jeroen!I23,David!I23,Georgi!I23,Julek!I23,Sasha!I23,Theo!I23)</f>
        <v>0</v>
      </c>
      <c r="J23" s="34">
        <f>SUM(Jeroen!J23,David!J23,Georgi!J23,Julek!J23,Sasha!J23,Theo!J23)</f>
        <v>0.9166666667</v>
      </c>
      <c r="K23" s="34">
        <f>SUM(Jeroen!K23,David!K23,Georgi!K23,Julek!K23,Sasha!K23,Theo!K22)</f>
        <v>0.6458333333</v>
      </c>
      <c r="L23" s="34">
        <f>SUM(Jeroen!L23,David!L23,Georgi!L23,Julek!L23,Sasha!L23,Theo!L23)</f>
        <v>0</v>
      </c>
      <c r="M23" s="35">
        <f t="shared" si="1"/>
        <v>1.5625</v>
      </c>
      <c r="N23" s="33" t="str">
        <f t="array" ref="N23">IF(INDEX(Tasks,18,3)&lt;&gt;"",100*M23/INDEX(Tasks,18,3),"")</f>
        <v/>
      </c>
    </row>
    <row r="24" ht="14.25" customHeight="1">
      <c r="B24" t="str">
        <f t="array" ref="B24">INDEX(Tasks,19,2)</f>
        <v>Sprint Task x.x</v>
      </c>
      <c r="C24" s="34">
        <f>SUM(Jeroen!C24,David!C24,Georgi!C24,Julek!C24,Sasha!C24,Theo!C24)</f>
        <v>0</v>
      </c>
      <c r="D24" s="34">
        <f>SUM(Jeroen!D24,David!D24,Georgi!D24,Julek!D24,Sasha!D24,Theo!D24)</f>
        <v>0</v>
      </c>
      <c r="E24" s="34">
        <f>SUM(Jeroen!E24,David!E24,Georgi!E24,Julek!E24,Sasha!E24,Theo!E24)</f>
        <v>0</v>
      </c>
      <c r="F24" s="34">
        <f>SUM(Jeroen!F24,David!F24,Georgi!F24,Julek!F24,Sasha!F24,Theo!F24)</f>
        <v>0</v>
      </c>
      <c r="G24" s="34">
        <f>SUM(Jeroen!G24,David!G24,Georgi!G24,Julek!G24,Sasha!G24,Theo!G24)</f>
        <v>0</v>
      </c>
      <c r="H24" s="34">
        <f>SUM(Jeroen!H24,David!H24,Georgi!H24,Julek!H24,Sasha!H24,Theo!H24)</f>
        <v>0</v>
      </c>
      <c r="I24" s="34">
        <f>SUM(Jeroen!I24,David!I24,Georgi!I24,Julek!I24,Sasha!I24,Theo!I24)</f>
        <v>0</v>
      </c>
      <c r="J24" s="34">
        <f>SUM(Jeroen!J24,David!J24,Georgi!J24,Julek!J24,Sasha!J24,Theo!J24)</f>
        <v>0</v>
      </c>
      <c r="K24" s="34">
        <f>SUM(Jeroen!K24,David!K24,Georgi!K24,Julek!K24,Sasha!K24,Theo!K24)</f>
        <v>0</v>
      </c>
      <c r="L24" s="34">
        <f>SUM(Jeroen!L24,David!L24,Georgi!L24,Julek!L24,Sasha!L24,Theo!L24)</f>
        <v>0</v>
      </c>
      <c r="M24" s="35">
        <f t="shared" si="1"/>
        <v>0</v>
      </c>
      <c r="N24" s="33" t="str">
        <f t="array" ref="N24">IF(INDEX(Tasks,19,3)&lt;&gt;"",100*M24/INDEX(Tasks,19,3),"")</f>
        <v/>
      </c>
    </row>
    <row r="25" ht="14.25" customHeight="1">
      <c r="B25" t="str">
        <f t="array" ref="B25">INDEX(Tasks,20,2)</f>
        <v>Sprint Task x.x</v>
      </c>
      <c r="C25" s="34">
        <f>SUM(Jeroen!C25,David!C25,Georgi!C25,Julek!C25,Sasha!C25,Theo!C25)</f>
        <v>0</v>
      </c>
      <c r="D25" s="34">
        <f>SUM(Jeroen!D25,David!D25,Georgi!D25,Julek!D25,Sasha!D25,Theo!D25)</f>
        <v>0</v>
      </c>
      <c r="E25" s="34">
        <f>SUM(Jeroen!E25,David!E25,Georgi!E25,Julek!E25,Sasha!E25,Theo!E25)</f>
        <v>0</v>
      </c>
      <c r="F25" s="34">
        <f>SUM(Jeroen!F25,David!F25,Georgi!F25,Julek!F25,Sasha!F25,Theo!F25)</f>
        <v>0</v>
      </c>
      <c r="G25" s="34">
        <f>SUM(Jeroen!G25,David!G25,Georgi!G25,Julek!G25,Sasha!G25,Theo!G25)</f>
        <v>0</v>
      </c>
      <c r="H25" s="34">
        <f>SUM(Jeroen!H25,David!H25,Georgi!H25,Julek!H25,Sasha!H25,Theo!H25)</f>
        <v>0</v>
      </c>
      <c r="I25" s="34">
        <f>SUM(Jeroen!I25,David!I25,Georgi!I25,Julek!I25,Sasha!I25,Theo!I25)</f>
        <v>0</v>
      </c>
      <c r="J25" s="34">
        <f>SUM(Jeroen!J25,David!J25,Georgi!J25,Julek!J25,Sasha!J25,Theo!J25)</f>
        <v>0</v>
      </c>
      <c r="K25" s="34">
        <f>SUM(Jeroen!K25,David!K25,Georgi!K25,Julek!K25,Sasha!K25,Theo!K25)</f>
        <v>0</v>
      </c>
      <c r="L25" s="34">
        <f>SUM(Jeroen!L25,David!L25,Georgi!L25,Julek!L25,Sasha!L25,Theo!L25)</f>
        <v>0</v>
      </c>
      <c r="M25" s="36">
        <f t="shared" si="1"/>
        <v>0</v>
      </c>
      <c r="N25" s="37" t="str">
        <f t="array" ref="N25">IF(INDEX(Tasks,20,3)&lt;&gt;"",100*M25/INDEX(Tasks,20,3),"")</f>
        <v/>
      </c>
    </row>
    <row r="26" ht="14.25" customHeight="1"/>
    <row r="27" ht="14.25" customHeight="1"/>
    <row r="28" ht="14.25" customHeight="1"/>
    <row r="29" ht="14.25" customHeight="1"/>
    <row r="30" ht="14.25" customHeight="1">
      <c r="C30" s="38" t="s">
        <v>66</v>
      </c>
      <c r="D30" s="38" t="s">
        <v>67</v>
      </c>
      <c r="E30" s="38" t="s">
        <v>68</v>
      </c>
      <c r="F30" s="38" t="s">
        <v>69</v>
      </c>
      <c r="G30" s="38" t="s">
        <v>70</v>
      </c>
      <c r="H30" s="38" t="s">
        <v>71</v>
      </c>
      <c r="I30" s="38" t="s">
        <v>72</v>
      </c>
      <c r="J30" s="38" t="s">
        <v>73</v>
      </c>
      <c r="K30" s="38" t="s">
        <v>74</v>
      </c>
      <c r="L30" s="38" t="s">
        <v>75</v>
      </c>
      <c r="M30" s="30" t="s">
        <v>76</v>
      </c>
    </row>
    <row r="31" ht="14.25" customHeight="1">
      <c r="B31" t="str">
        <f t="array" ref="B31">INDEX(Participants,1,2)</f>
        <v>David</v>
      </c>
      <c r="C31" s="34">
        <f>David!C26</f>
        <v>0.2291666667</v>
      </c>
      <c r="D31" s="34">
        <f>David!D26</f>
        <v>0.6875</v>
      </c>
      <c r="E31" s="34">
        <f>David!E26</f>
        <v>1</v>
      </c>
      <c r="F31" s="34">
        <f>David!F26</f>
        <v>0.3333333333</v>
      </c>
      <c r="G31" s="34">
        <f>David!G26</f>
        <v>0.6666666667</v>
      </c>
      <c r="H31" s="34">
        <f>David!H26</f>
        <v>0.5</v>
      </c>
      <c r="I31" s="34">
        <f>David!I26</f>
        <v>0.8333333333</v>
      </c>
      <c r="J31" s="34">
        <f>David!J26</f>
        <v>0.7083333333</v>
      </c>
      <c r="K31" s="34">
        <f>David!K26</f>
        <v>1.333333333</v>
      </c>
      <c r="L31" s="34">
        <f>David!L26</f>
        <v>0</v>
      </c>
      <c r="M31" s="39">
        <f t="shared" ref="M31:M37" si="2">SUM(C31:L31)</f>
        <v>6.291666667</v>
      </c>
    </row>
    <row r="32" ht="14.25" customHeight="1">
      <c r="B32" t="str">
        <f t="array" ref="B32">INDEX(Participants,2,2)</f>
        <v>Georgi</v>
      </c>
      <c r="C32" s="34">
        <f>Georgi!C26</f>
        <v>0.1875</v>
      </c>
      <c r="D32" s="34">
        <f>Georgi!D26</f>
        <v>0.2708333333</v>
      </c>
      <c r="E32" s="34">
        <f>Georgi!E26</f>
        <v>0.4166666667</v>
      </c>
      <c r="F32" s="34">
        <f>Georgi!F26</f>
        <v>0</v>
      </c>
      <c r="G32" s="34">
        <f>Georgi!G26</f>
        <v>0</v>
      </c>
      <c r="H32" s="34">
        <f>Georgi!H26</f>
        <v>0</v>
      </c>
      <c r="I32" s="34">
        <f>Georgi!I26</f>
        <v>0</v>
      </c>
      <c r="J32" s="34">
        <f>Georgi!J26</f>
        <v>0</v>
      </c>
      <c r="K32" s="34">
        <f>Georgi!K26</f>
        <v>0</v>
      </c>
      <c r="L32" s="34">
        <f>Georgi!L26</f>
        <v>0</v>
      </c>
      <c r="M32" s="39">
        <f t="shared" si="2"/>
        <v>0.875</v>
      </c>
    </row>
    <row r="33" ht="14.25" customHeight="1">
      <c r="B33" t="str">
        <f t="array" ref="B33">INDEX(Participants,3,2)</f>
        <v>Jeroen</v>
      </c>
      <c r="C33" s="34">
        <f>Jeroen!C26</f>
        <v>0.3541666667</v>
      </c>
      <c r="D33" s="34">
        <f>Jeroen!D26</f>
        <v>0.3958333333</v>
      </c>
      <c r="E33" s="34">
        <f>Jeroen!E26</f>
        <v>0.5</v>
      </c>
      <c r="F33" s="34">
        <f>Jeroen!F26</f>
        <v>0.2708333333</v>
      </c>
      <c r="G33" s="34">
        <f>Jeroen!G26</f>
        <v>0.4166666667</v>
      </c>
      <c r="H33" s="34">
        <f>Jeroen!H26</f>
        <v>0.5208333333</v>
      </c>
      <c r="I33" s="34">
        <f>Jeroen!I26</f>
        <v>0.5</v>
      </c>
      <c r="J33" s="34">
        <f>Jeroen!J26</f>
        <v>0.7291666667</v>
      </c>
      <c r="K33" s="34">
        <f>Jeroen!K26</f>
        <v>1.666666667</v>
      </c>
      <c r="L33" s="34">
        <f>Jeroen!L26</f>
        <v>0</v>
      </c>
      <c r="M33" s="39">
        <f t="shared" si="2"/>
        <v>5.354166667</v>
      </c>
    </row>
    <row r="34" ht="14.25" customHeight="1">
      <c r="B34" t="str">
        <f t="array" ref="B34">INDEX(Participants,4,2)</f>
        <v>Julek</v>
      </c>
      <c r="C34" s="34">
        <f>Julek!C26</f>
        <v>0.4166666667</v>
      </c>
      <c r="D34" s="34">
        <f>Julek!D26</f>
        <v>0.4375</v>
      </c>
      <c r="E34" s="34">
        <f>Julek!E26</f>
        <v>0.2708333333</v>
      </c>
      <c r="F34" s="34">
        <f>Julek!F26</f>
        <v>0.5833333333</v>
      </c>
      <c r="G34" s="34">
        <f>Julek!G26</f>
        <v>0.4583333333</v>
      </c>
      <c r="H34" s="34">
        <f>Julek!H26</f>
        <v>0.4166666667</v>
      </c>
      <c r="I34" s="34">
        <f>Julek!I26</f>
        <v>0.5625</v>
      </c>
      <c r="J34" s="34">
        <f>Julek!J26</f>
        <v>0.9375</v>
      </c>
      <c r="K34" s="34">
        <f>Julek!K26</f>
        <v>1.041666667</v>
      </c>
      <c r="L34" s="34">
        <f>Julek!L26</f>
        <v>0</v>
      </c>
      <c r="M34" s="39">
        <f t="shared" si="2"/>
        <v>5.125</v>
      </c>
    </row>
    <row r="35" ht="14.25" customHeight="1">
      <c r="B35" t="str">
        <f t="array" ref="B35">INDEX(Participants,5,2)</f>
        <v>Sasha</v>
      </c>
      <c r="C35" s="34">
        <f>Sasha!C26</f>
        <v>0.2916666667</v>
      </c>
      <c r="D35" s="34">
        <f>Sasha!D26</f>
        <v>0.5208333333</v>
      </c>
      <c r="E35" s="34">
        <f>Sasha!E26</f>
        <v>0.75</v>
      </c>
      <c r="F35" s="34">
        <f>Sasha!F26</f>
        <v>0.3958333333</v>
      </c>
      <c r="G35" s="34">
        <f>Sasha!G26</f>
        <v>0.4583333333</v>
      </c>
      <c r="H35" s="34">
        <f>Sasha!H26</f>
        <v>0.2708333333</v>
      </c>
      <c r="I35" s="34">
        <f>Sasha!I26</f>
        <v>0.9583333333</v>
      </c>
      <c r="J35" s="34">
        <f>Sasha!J26</f>
        <v>0.5416666667</v>
      </c>
      <c r="K35" s="34">
        <f>Sasha!K26</f>
        <v>0.875</v>
      </c>
      <c r="L35" s="34">
        <f>Sasha!L26</f>
        <v>0</v>
      </c>
      <c r="M35" s="39">
        <f t="shared" si="2"/>
        <v>5.0625</v>
      </c>
    </row>
    <row r="36" ht="14.25" customHeight="1">
      <c r="B36" t="str">
        <f t="array" ref="B36">INDEX(Participants,6,2)</f>
        <v>Theo</v>
      </c>
      <c r="C36" s="34">
        <f>Theo!C26</f>
        <v>0.2708333333</v>
      </c>
      <c r="D36" s="34">
        <f>Theo!D26</f>
        <v>0.375</v>
      </c>
      <c r="E36" s="34">
        <f>Theo!E26</f>
        <v>0.5416666667</v>
      </c>
      <c r="F36" s="34">
        <f>Theo!F26</f>
        <v>0.4375</v>
      </c>
      <c r="G36" s="34">
        <f>Theo!G26</f>
        <v>0.375</v>
      </c>
      <c r="H36" s="34">
        <f>Theo!H26</f>
        <v>0.3333333333</v>
      </c>
      <c r="I36" s="34">
        <f>Theo!I26</f>
        <v>0.9375</v>
      </c>
      <c r="J36" s="34">
        <f>Theo!J26</f>
        <v>1.166666667</v>
      </c>
      <c r="K36" s="34">
        <f>Theo!K26</f>
        <v>0.6041666667</v>
      </c>
      <c r="L36" s="34">
        <f>Theo!L26</f>
        <v>0</v>
      </c>
      <c r="M36" s="39">
        <f t="shared" si="2"/>
        <v>5.041666667</v>
      </c>
    </row>
    <row r="37" ht="14.25" customHeight="1">
      <c r="B37" t="str">
        <f t="array" ref="B37">INDEX(Participants,7,2)</f>
        <v>Total budget</v>
      </c>
      <c r="C37" s="39">
        <f t="shared" ref="C37:L37" si="3">SUM(C31:C36)</f>
        <v>1.75</v>
      </c>
      <c r="D37" s="39">
        <f t="shared" si="3"/>
        <v>2.6875</v>
      </c>
      <c r="E37" s="39">
        <f t="shared" si="3"/>
        <v>3.479166667</v>
      </c>
      <c r="F37" s="39">
        <f t="shared" si="3"/>
        <v>2.020833333</v>
      </c>
      <c r="G37" s="39">
        <f t="shared" si="3"/>
        <v>2.375</v>
      </c>
      <c r="H37" s="39">
        <f t="shared" si="3"/>
        <v>2.041666667</v>
      </c>
      <c r="I37" s="39">
        <f t="shared" si="3"/>
        <v>3.791666667</v>
      </c>
      <c r="J37" s="39">
        <f t="shared" si="3"/>
        <v>4.083333333</v>
      </c>
      <c r="K37" s="39">
        <f t="shared" si="3"/>
        <v>5.520833333</v>
      </c>
      <c r="L37" s="39">
        <f t="shared" si="3"/>
        <v>0</v>
      </c>
      <c r="M37" s="39">
        <f t="shared" si="2"/>
        <v>27.75</v>
      </c>
    </row>
    <row r="38" ht="14.25" customHeight="1">
      <c r="B38" t="str">
        <f t="array" ref="B38">INDEX(Participants,8,2)</f>
        <v/>
      </c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</row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fitToWidth="0" paperSize="9" orientation="landscape"/>
  <drawing r:id="rId1"/>
</worksheet>
</file>